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4"/>
  <workbookPr/>
  <mc:AlternateContent xmlns:mc="http://schemas.openxmlformats.org/markup-compatibility/2006">
    <mc:Choice Requires="x15">
      <x15ac:absPath xmlns:x15ac="http://schemas.microsoft.com/office/spreadsheetml/2010/11/ac" url="/Users/kiacovino/PythonGit/webapps/epic-tc-calculator/excel/"/>
    </mc:Choice>
  </mc:AlternateContent>
  <xr:revisionPtr revIDLastSave="0" documentId="13_ncr:1_{40EDEFD4-7342-E341-82C5-C22AD08F17D9}" xr6:coauthVersionLast="47" xr6:coauthVersionMax="47" xr10:uidLastSave="{00000000-0000-0000-0000-000000000000}"/>
  <bookViews>
    <workbookView xWindow="0" yWindow="540" windowWidth="26240" windowHeight="16420" xr2:uid="{00000000-000D-0000-FFFF-FFFF00000000}"/>
  </bookViews>
  <sheets>
    <sheet name="First_TC shield" sheetId="1" r:id="rId1"/>
    <sheet name="Second_TC deviation" sheetId="2" r:id="rId2"/>
    <sheet name="Data for Taylor" sheetId="3" r:id="rId3"/>
    <sheet name="Data for Rosi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Ao/44tEko7brd6iSt5r8gt+qmNoVcr6S4oK2cRCUw3s="/>
    </ext>
  </extLst>
</workbook>
</file>

<file path=xl/calcChain.xml><?xml version="1.0" encoding="utf-8"?>
<calcChain xmlns="http://schemas.openxmlformats.org/spreadsheetml/2006/main">
  <c r="I21" i="4" l="1"/>
  <c r="I19" i="3"/>
  <c r="J50" i="2"/>
  <c r="I50" i="2"/>
  <c r="E50" i="2"/>
  <c r="D50" i="2"/>
  <c r="J48" i="2"/>
  <c r="I48" i="2"/>
  <c r="E48" i="2"/>
  <c r="D48" i="2"/>
  <c r="J45" i="2"/>
  <c r="I45" i="2"/>
  <c r="E45" i="2"/>
  <c r="D45" i="2"/>
  <c r="J43" i="2"/>
  <c r="I43" i="2"/>
  <c r="E43" i="2"/>
  <c r="D43" i="2"/>
  <c r="J41" i="2"/>
  <c r="I41" i="2"/>
  <c r="E41" i="2"/>
  <c r="D41" i="2"/>
  <c r="J39" i="2"/>
  <c r="I39" i="2"/>
  <c r="E39" i="2"/>
  <c r="D39" i="2"/>
  <c r="J37" i="2"/>
  <c r="I37" i="2"/>
  <c r="E37" i="2"/>
  <c r="D37" i="2"/>
  <c r="J35" i="2"/>
  <c r="I35" i="2"/>
  <c r="E35" i="2"/>
  <c r="D35" i="2"/>
  <c r="J33" i="2"/>
  <c r="I33" i="2"/>
  <c r="E33" i="2"/>
  <c r="D33" i="2"/>
  <c r="J31" i="2"/>
  <c r="I31" i="2"/>
  <c r="E31" i="2"/>
  <c r="D31" i="2"/>
  <c r="J29" i="2"/>
  <c r="I29" i="2"/>
  <c r="E29" i="2"/>
  <c r="D29" i="2"/>
  <c r="J26" i="2"/>
  <c r="I26" i="2"/>
  <c r="E26" i="2"/>
  <c r="D26" i="2"/>
  <c r="J24" i="2"/>
  <c r="I24" i="2"/>
  <c r="E24" i="2"/>
  <c r="D24" i="2"/>
  <c r="J22" i="2"/>
  <c r="I22" i="2"/>
  <c r="E22" i="2"/>
  <c r="D22" i="2"/>
  <c r="J20" i="2"/>
  <c r="I20" i="2"/>
  <c r="E20" i="2"/>
  <c r="D20" i="2"/>
  <c r="J18" i="2"/>
  <c r="I18" i="2"/>
  <c r="E18" i="2"/>
  <c r="D18" i="2"/>
  <c r="J16" i="2"/>
  <c r="I16" i="2"/>
  <c r="E16" i="2"/>
  <c r="D16" i="2"/>
  <c r="J14" i="2"/>
  <c r="I14" i="2"/>
  <c r="E14" i="2"/>
  <c r="D14" i="2"/>
  <c r="J12" i="2"/>
  <c r="I12" i="2"/>
  <c r="E12" i="2"/>
  <c r="D12" i="2"/>
  <c r="J10" i="2"/>
  <c r="I10" i="2"/>
  <c r="E10" i="2"/>
  <c r="D10" i="2"/>
  <c r="J7" i="2"/>
  <c r="I7" i="2"/>
  <c r="E7" i="2"/>
  <c r="D7" i="2"/>
  <c r="E11" i="1"/>
  <c r="D11" i="1"/>
  <c r="E6" i="1"/>
  <c r="D6" i="1"/>
  <c r="F6" i="1" l="1"/>
  <c r="G6" i="1"/>
  <c r="F11" i="1"/>
  <c r="G11" i="1" s="1"/>
</calcChain>
</file>

<file path=xl/sharedStrings.xml><?xml version="1.0" encoding="utf-8"?>
<sst xmlns="http://schemas.openxmlformats.org/spreadsheetml/2006/main" count="40" uniqueCount="29">
  <si>
    <r>
      <rPr>
        <b/>
        <sz val="11"/>
        <color theme="1"/>
        <rFont val="Calibri"/>
      </rPr>
      <t>Instructions:</t>
    </r>
    <r>
      <rPr>
        <sz val="11"/>
        <color theme="1"/>
        <rFont val="Calibri"/>
      </rPr>
      <t xml:space="preserve"> only change values in the outlined boxes (B7:C7 and B12:C12). Insert the thermocouple shield thickness and the capsule height in inches then subtract the calculated T from desired temperature. Eg. If desired run temperature is 800 C, then the temperature to program into the Eurotherm temperature controller is T = 800 - (calculated value from this worksheet) - (value from worksheet "Second_TC deviation").</t>
    </r>
  </si>
  <si>
    <t>Taylor</t>
  </si>
  <si>
    <t>Thermocouple shield thickness (inches)</t>
  </si>
  <si>
    <t>Capsule height (inches)</t>
  </si>
  <si>
    <t>Thermocouple shield thickness (mm)</t>
  </si>
  <si>
    <t>Capsule height (mm)</t>
  </si>
  <si>
    <t>T/C to middle (post run)</t>
  </si>
  <si>
    <r>
      <rPr>
        <b/>
        <sz val="11"/>
        <color theme="1"/>
        <rFont val="Calibri"/>
      </rPr>
      <t>T (</t>
    </r>
    <r>
      <rPr>
        <b/>
        <sz val="11"/>
        <color theme="1"/>
        <rFont val="Calibri"/>
      </rPr>
      <t>°C)</t>
    </r>
    <r>
      <rPr>
        <b/>
        <sz val="11"/>
        <color theme="1"/>
        <rFont val="Calibri"/>
      </rPr>
      <t xml:space="preserve"> to subtract</t>
    </r>
  </si>
  <si>
    <t>Rosie</t>
  </si>
  <si>
    <t>T (°C) to subtract</t>
  </si>
  <si>
    <r>
      <rPr>
        <b/>
        <sz val="11"/>
        <color theme="1"/>
        <rFont val="Calibri"/>
      </rPr>
      <t>Instructions:</t>
    </r>
    <r>
      <rPr>
        <sz val="11"/>
        <color theme="1"/>
        <rFont val="Calibri"/>
      </rPr>
      <t xml:space="preserve"> Only use the celsius information in the outlined columns. Find the closest desired temperature that you wish to run at then add the deviation temperature. If your desired temperature is not listed, extrapolate to a reasonable value. Eg. Using the first spool, if desired T = 200 </t>
    </r>
    <r>
      <rPr>
        <sz val="11"/>
        <color theme="1"/>
        <rFont val="Calibri"/>
      </rPr>
      <t>°</t>
    </r>
    <r>
      <rPr>
        <sz val="11"/>
        <color theme="1"/>
        <rFont val="Calibri"/>
      </rPr>
      <t>C then the temperature to plug into the Eurotherm temperature controller is T = 200 - (value from worksheet "First_TC shield") - 3.4.</t>
    </r>
  </si>
  <si>
    <r>
      <rPr>
        <sz val="11"/>
        <color theme="1"/>
        <rFont val="Calibri"/>
      </rPr>
      <t xml:space="preserve">Example: If the thermocouple reads 100 </t>
    </r>
    <r>
      <rPr>
        <sz val="11"/>
        <color theme="1"/>
        <rFont val="Calibri"/>
      </rPr>
      <t>°</t>
    </r>
    <r>
      <rPr>
        <sz val="11"/>
        <color theme="1"/>
        <rFont val="Calibri"/>
      </rPr>
      <t>C, the actual temperature is 103.2 °C. So if the desired run temperature is 100 °C, set T = 96.8 °C.</t>
    </r>
  </si>
  <si>
    <t>First spool purchased in 2014</t>
  </si>
  <si>
    <t>Second spool purchased in 2015</t>
  </si>
  <si>
    <r>
      <rPr>
        <sz val="11"/>
        <color theme="1"/>
        <rFont val="Calibri"/>
      </rPr>
      <t>Degrees (</t>
    </r>
    <r>
      <rPr>
        <sz val="11"/>
        <color theme="1"/>
        <rFont val="Calibri"/>
      </rPr>
      <t>°F)</t>
    </r>
  </si>
  <si>
    <t>Deviation (°F)</t>
  </si>
  <si>
    <r>
      <rPr>
        <sz val="11"/>
        <color theme="1"/>
        <rFont val="Calibri"/>
      </rPr>
      <t>Desired degrees (</t>
    </r>
    <r>
      <rPr>
        <sz val="11"/>
        <color theme="1"/>
        <rFont val="Calibri"/>
      </rPr>
      <t>°C)</t>
    </r>
  </si>
  <si>
    <t>Temp (°C) to subtract</t>
  </si>
  <si>
    <r>
      <rPr>
        <sz val="11"/>
        <color theme="1"/>
        <rFont val="Calibri"/>
      </rPr>
      <t>Degrees (</t>
    </r>
    <r>
      <rPr>
        <sz val="11"/>
        <color theme="1"/>
        <rFont val="Calibri"/>
      </rPr>
      <t>°F)</t>
    </r>
  </si>
  <si>
    <r>
      <rPr>
        <sz val="11"/>
        <color theme="1"/>
        <rFont val="Calibri"/>
      </rPr>
      <t>Desired degrees (</t>
    </r>
    <r>
      <rPr>
        <sz val="11"/>
        <color theme="1"/>
        <rFont val="Calibri"/>
      </rPr>
      <t>°C)</t>
    </r>
  </si>
  <si>
    <t xml:space="preserve">  </t>
  </si>
  <si>
    <t>Position from base of steel plug (mm)</t>
  </si>
  <si>
    <r>
      <rPr>
        <sz val="12"/>
        <color theme="1"/>
        <rFont val="Calibri"/>
      </rPr>
      <t>Temp (</t>
    </r>
    <r>
      <rPr>
        <sz val="12"/>
        <color theme="1"/>
        <rFont val="Calibri"/>
      </rPr>
      <t>°</t>
    </r>
    <r>
      <rPr>
        <sz val="12"/>
        <color theme="1"/>
        <rFont val="Calibri"/>
      </rPr>
      <t>C) calculated from spinel growth</t>
    </r>
  </si>
  <si>
    <t>Max temperature</t>
  </si>
  <si>
    <t>x</t>
  </si>
  <si>
    <t>y</t>
  </si>
  <si>
    <r>
      <rPr>
        <sz val="11"/>
        <color theme="1"/>
        <rFont val="Calibri"/>
      </rPr>
      <t>Temp (</t>
    </r>
    <r>
      <rPr>
        <sz val="11"/>
        <color theme="1"/>
        <rFont val="Calibri"/>
      </rPr>
      <t>°</t>
    </r>
    <r>
      <rPr>
        <sz val="11"/>
        <color theme="1"/>
        <rFont val="Calibri"/>
      </rPr>
      <t>C) calculated from spinel growth</t>
    </r>
  </si>
  <si>
    <r>
      <rPr>
        <sz val="11"/>
        <color theme="1"/>
        <rFont val="Calibri"/>
      </rPr>
      <t>y = -1.3609E-02x</t>
    </r>
    <r>
      <rPr>
        <vertAlign val="superscript"/>
        <sz val="11"/>
        <color theme="1"/>
        <rFont val="Calibri"/>
      </rPr>
      <t>4</t>
    </r>
    <r>
      <rPr>
        <sz val="11"/>
        <color theme="1"/>
        <rFont val="Calibri"/>
      </rPr>
      <t xml:space="preserve"> + 6.0653E-01x</t>
    </r>
    <r>
      <rPr>
        <vertAlign val="superscript"/>
        <sz val="11"/>
        <color theme="1"/>
        <rFont val="Calibri"/>
      </rPr>
      <t>3</t>
    </r>
    <r>
      <rPr>
        <sz val="11"/>
        <color theme="1"/>
        <rFont val="Calibri"/>
      </rPr>
      <t xml:space="preserve"> - 1.2281E+01x</t>
    </r>
    <r>
      <rPr>
        <vertAlign val="superscript"/>
        <sz val="11"/>
        <color theme="1"/>
        <rFont val="Calibri"/>
      </rPr>
      <t>2</t>
    </r>
    <r>
      <rPr>
        <sz val="11"/>
        <color theme="1"/>
        <rFont val="Calibri"/>
      </rPr>
      <t xml:space="preserve"> + 1.2367E+02x + 4.6354E+02</t>
    </r>
  </si>
  <si>
    <r>
      <t>y = 3.7129E-02x</t>
    </r>
    <r>
      <rPr>
        <vertAlign val="superscript"/>
        <sz val="12"/>
        <color theme="1"/>
        <rFont val="Calibri"/>
      </rPr>
      <t>3</t>
    </r>
    <r>
      <rPr>
        <sz val="12"/>
        <color theme="1"/>
        <rFont val="Calibri"/>
      </rPr>
      <t xml:space="preserve"> - 2.9693E+00x</t>
    </r>
    <r>
      <rPr>
        <vertAlign val="superscript"/>
        <sz val="12"/>
        <color theme="1"/>
        <rFont val="Calibri"/>
      </rPr>
      <t>2</t>
    </r>
    <r>
      <rPr>
        <sz val="12"/>
        <color theme="1"/>
        <rFont val="Calibri"/>
      </rPr>
      <t xml:space="preserve"> + 5.4464E+01x + 6.5414E+02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</si>
</sst>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scheme val="minor"/>
    </font>
    <font>
      <sz val="11"/>
      <color theme="1"/>
      <name val="Calibri"/>
    </font>
    <font>
      <b/>
      <sz val="11"/>
      <color theme="1"/>
      <name val="Calibri"/>
    </font>
    <font>
      <sz val="11"/>
      <color theme="1"/>
      <name val="Calibri"/>
      <scheme val="minor"/>
    </font>
    <font>
      <sz val="12"/>
      <color theme="1"/>
      <name val="Calibri"/>
    </font>
    <font>
      <vertAlign val="superscript"/>
      <sz val="12"/>
      <color theme="1"/>
      <name val="Calibri"/>
    </font>
    <font>
      <vertAlign val="superscript"/>
      <sz val="11"/>
      <color theme="1"/>
      <name val="Calibri"/>
    </font>
  </fonts>
  <fills count="2">
    <fill>
      <patternFill patternType="none"/>
    </fill>
    <fill>
      <patternFill patternType="gray125"/>
    </fill>
  </fills>
  <borders count="9">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1">
    <xf numFmtId="0" fontId="0" fillId="0" borderId="0" xfId="0"/>
    <xf numFmtId="0" fontId="2" fillId="0" borderId="0" xfId="0" applyFont="1"/>
    <xf numFmtId="0" fontId="1" fillId="0" borderId="0" xfId="0" applyFont="1" applyAlignment="1">
      <alignment wrapText="1"/>
    </xf>
    <xf numFmtId="0" fontId="2" fillId="0" borderId="0" xfId="0" applyFont="1" applyAlignment="1">
      <alignment wrapText="1"/>
    </xf>
    <xf numFmtId="0" fontId="1" fillId="0" borderId="1" xfId="0" applyFont="1" applyBorder="1"/>
    <xf numFmtId="0" fontId="1" fillId="0" borderId="2" xfId="0" applyFont="1" applyBorder="1"/>
    <xf numFmtId="0" fontId="3" fillId="0" borderId="0" xfId="0" applyFont="1"/>
    <xf numFmtId="2" fontId="2" fillId="0" borderId="0" xfId="0" applyNumberFormat="1" applyFont="1"/>
    <xf numFmtId="164" fontId="1" fillId="0" borderId="0" xfId="0" applyNumberFormat="1" applyFont="1"/>
    <xf numFmtId="1" fontId="2" fillId="0" borderId="3" xfId="0" applyNumberFormat="1" applyFont="1" applyBorder="1"/>
    <xf numFmtId="164" fontId="2" fillId="0" borderId="4" xfId="0" applyNumberFormat="1" applyFont="1" applyBorder="1"/>
    <xf numFmtId="0" fontId="2" fillId="0" borderId="5" xfId="0" applyFont="1" applyBorder="1"/>
    <xf numFmtId="164" fontId="2" fillId="0" borderId="6" xfId="0" applyNumberFormat="1" applyFont="1" applyBorder="1"/>
    <xf numFmtId="1" fontId="2" fillId="0" borderId="5" xfId="0" applyNumberFormat="1" applyFont="1" applyBorder="1"/>
    <xf numFmtId="1" fontId="2" fillId="0" borderId="7" xfId="0" applyNumberFormat="1" applyFont="1" applyBorder="1"/>
    <xf numFmtId="164" fontId="2" fillId="0" borderId="8" xfId="0" applyNumberFormat="1" applyFont="1" applyBorder="1"/>
    <xf numFmtId="0" fontId="4" fillId="0" borderId="0" xfId="0" applyFont="1" applyAlignment="1">
      <alignment wrapText="1"/>
    </xf>
    <xf numFmtId="0" fontId="4" fillId="0" borderId="0" xfId="0" applyFont="1"/>
    <xf numFmtId="0" fontId="1" fillId="0" borderId="0" xfId="0" applyFont="1"/>
    <xf numFmtId="0" fontId="1" fillId="0" borderId="0" xfId="0"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US" b="1" i="0">
                <a:solidFill>
                  <a:srgbClr val="757575"/>
                </a:solidFill>
                <a:latin typeface="+mn-lt"/>
              </a:rPr>
              <a:t>First Spool - 2014</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'Second_TC deviation'!$D$7:$D$50</c:f>
              <c:numCache>
                <c:formatCode>General</c:formatCode>
                <c:ptCount val="44"/>
                <c:pt idx="0" formatCode="0">
                  <c:v>93.333333333333343</c:v>
                </c:pt>
                <c:pt idx="1">
                  <c:v>100</c:v>
                </c:pt>
                <c:pt idx="2">
                  <c:v>200</c:v>
                </c:pt>
                <c:pt idx="3" formatCode="0">
                  <c:v>204.44444444444446</c:v>
                </c:pt>
                <c:pt idx="4">
                  <c:v>300</c:v>
                </c:pt>
                <c:pt idx="5" formatCode="0">
                  <c:v>315.55555555555554</c:v>
                </c:pt>
                <c:pt idx="6">
                  <c:v>400</c:v>
                </c:pt>
                <c:pt idx="7" formatCode="0">
                  <c:v>426.66666666666669</c:v>
                </c:pt>
                <c:pt idx="8">
                  <c:v>500</c:v>
                </c:pt>
                <c:pt idx="9" formatCode="0">
                  <c:v>537.77777777777783</c:v>
                </c:pt>
                <c:pt idx="10">
                  <c:v>600</c:v>
                </c:pt>
                <c:pt idx="11" formatCode="0">
                  <c:v>648.88888888888891</c:v>
                </c:pt>
                <c:pt idx="12">
                  <c:v>700</c:v>
                </c:pt>
                <c:pt idx="13" formatCode="0">
                  <c:v>760</c:v>
                </c:pt>
                <c:pt idx="14">
                  <c:v>800</c:v>
                </c:pt>
                <c:pt idx="15" formatCode="0">
                  <c:v>871.1111111111112</c:v>
                </c:pt>
                <c:pt idx="16">
                  <c:v>900</c:v>
                </c:pt>
                <c:pt idx="17" formatCode="0">
                  <c:v>982.22222222222229</c:v>
                </c:pt>
                <c:pt idx="18">
                  <c:v>1000</c:v>
                </c:pt>
                <c:pt idx="19" formatCode="0">
                  <c:v>1093.3333333333335</c:v>
                </c:pt>
                <c:pt idx="20">
                  <c:v>1100</c:v>
                </c:pt>
                <c:pt idx="21">
                  <c:v>1200</c:v>
                </c:pt>
                <c:pt idx="22" formatCode="0">
                  <c:v>1204.4444444444446</c:v>
                </c:pt>
                <c:pt idx="23">
                  <c:v>1300</c:v>
                </c:pt>
                <c:pt idx="24" formatCode="0">
                  <c:v>1315.5555555555557</c:v>
                </c:pt>
                <c:pt idx="25">
                  <c:v>1400</c:v>
                </c:pt>
                <c:pt idx="26" formatCode="0">
                  <c:v>1426.6666666666667</c:v>
                </c:pt>
                <c:pt idx="27">
                  <c:v>1500</c:v>
                </c:pt>
                <c:pt idx="28" formatCode="0">
                  <c:v>1537.7777777777778</c:v>
                </c:pt>
                <c:pt idx="29">
                  <c:v>1600</c:v>
                </c:pt>
                <c:pt idx="30" formatCode="0">
                  <c:v>1648.8888888888889</c:v>
                </c:pt>
                <c:pt idx="31">
                  <c:v>1700</c:v>
                </c:pt>
                <c:pt idx="32" formatCode="0">
                  <c:v>1760</c:v>
                </c:pt>
                <c:pt idx="33">
                  <c:v>1800</c:v>
                </c:pt>
                <c:pt idx="34" formatCode="0">
                  <c:v>1871.1111111111111</c:v>
                </c:pt>
                <c:pt idx="35">
                  <c:v>1900</c:v>
                </c:pt>
                <c:pt idx="36" formatCode="0">
                  <c:v>1982.2222222222224</c:v>
                </c:pt>
                <c:pt idx="37">
                  <c:v>2000</c:v>
                </c:pt>
                <c:pt idx="38" formatCode="0">
                  <c:v>2093.3333333333335</c:v>
                </c:pt>
                <c:pt idx="39">
                  <c:v>2100</c:v>
                </c:pt>
                <c:pt idx="40">
                  <c:v>2200</c:v>
                </c:pt>
                <c:pt idx="41" formatCode="0">
                  <c:v>2204.4444444444443</c:v>
                </c:pt>
                <c:pt idx="42">
                  <c:v>2300</c:v>
                </c:pt>
                <c:pt idx="43" formatCode="0">
                  <c:v>2315.5555555555557</c:v>
                </c:pt>
              </c:numCache>
            </c:numRef>
          </c:xVal>
          <c:yVal>
            <c:numRef>
              <c:f>'Second_TC deviation'!$E$7:$E$50</c:f>
              <c:numCache>
                <c:formatCode>0.0</c:formatCode>
                <c:ptCount val="44"/>
                <c:pt idx="0">
                  <c:v>3.2222222222222285</c:v>
                </c:pt>
                <c:pt idx="1">
                  <c:v>3.2</c:v>
                </c:pt>
                <c:pt idx="2">
                  <c:v>3.2</c:v>
                </c:pt>
                <c:pt idx="3">
                  <c:v>3.2222222222222285</c:v>
                </c:pt>
                <c:pt idx="4">
                  <c:v>3.4</c:v>
                </c:pt>
                <c:pt idx="5">
                  <c:v>3.2222222222222285</c:v>
                </c:pt>
                <c:pt idx="6">
                  <c:v>3.6</c:v>
                </c:pt>
                <c:pt idx="7">
                  <c:v>3.6666666666666856</c:v>
                </c:pt>
                <c:pt idx="8">
                  <c:v>3.9</c:v>
                </c:pt>
                <c:pt idx="9">
                  <c:v>4</c:v>
                </c:pt>
                <c:pt idx="10">
                  <c:v>4.3</c:v>
                </c:pt>
                <c:pt idx="11">
                  <c:v>4.5555555555555429</c:v>
                </c:pt>
                <c:pt idx="12">
                  <c:v>4.7</c:v>
                </c:pt>
                <c:pt idx="13">
                  <c:v>4.8888888888889142</c:v>
                </c:pt>
                <c:pt idx="14">
                  <c:v>5</c:v>
                </c:pt>
                <c:pt idx="15">
                  <c:v>5.2777777777777146</c:v>
                </c:pt>
                <c:pt idx="16">
                  <c:v>5.4</c:v>
                </c:pt>
                <c:pt idx="17">
                  <c:v>5.6111111111110858</c:v>
                </c:pt>
                <c:pt idx="18">
                  <c:v>5.7</c:v>
                </c:pt>
                <c:pt idx="19">
                  <c:v>5.8333333333332575</c:v>
                </c:pt>
                <c:pt idx="20">
                  <c:v>5.8</c:v>
                </c:pt>
                <c:pt idx="21">
                  <c:v>5.7</c:v>
                </c:pt>
                <c:pt idx="22">
                  <c:v>5.7222222222221717</c:v>
                </c:pt>
                <c:pt idx="23">
                  <c:v>5.7</c:v>
                </c:pt>
                <c:pt idx="24">
                  <c:v>5.7777777777778283</c:v>
                </c:pt>
                <c:pt idx="25">
                  <c:v>5.2</c:v>
                </c:pt>
                <c:pt idx="26">
                  <c:v>5</c:v>
                </c:pt>
                <c:pt idx="27">
                  <c:v>4.8</c:v>
                </c:pt>
                <c:pt idx="28">
                  <c:v>4.6666666666667425</c:v>
                </c:pt>
                <c:pt idx="29">
                  <c:v>4.7</c:v>
                </c:pt>
                <c:pt idx="30">
                  <c:v>4.8333333333332575</c:v>
                </c:pt>
                <c:pt idx="31">
                  <c:v>5.4</c:v>
                </c:pt>
                <c:pt idx="32">
                  <c:v>6.2222222222221717</c:v>
                </c:pt>
                <c:pt idx="33">
                  <c:v>7.1</c:v>
                </c:pt>
                <c:pt idx="34">
                  <c:v>8.7222222222221717</c:v>
                </c:pt>
                <c:pt idx="35">
                  <c:v>9.1</c:v>
                </c:pt>
                <c:pt idx="36">
                  <c:v>10.222222222222172</c:v>
                </c:pt>
                <c:pt idx="37">
                  <c:v>10.199999999999999</c:v>
                </c:pt>
                <c:pt idx="38">
                  <c:v>10.111111111110858</c:v>
                </c:pt>
                <c:pt idx="39">
                  <c:v>10</c:v>
                </c:pt>
                <c:pt idx="40">
                  <c:v>7.8</c:v>
                </c:pt>
                <c:pt idx="41">
                  <c:v>7.6666666666669698</c:v>
                </c:pt>
                <c:pt idx="42">
                  <c:v>5.7</c:v>
                </c:pt>
                <c:pt idx="43">
                  <c:v>5.3333333333334849</c:v>
                </c:pt>
              </c:numCache>
            </c:numRef>
          </c:yVal>
          <c:smooth val="1"/>
          <c:extLst>
            <c:ext xmlns:c16="http://schemas.microsoft.com/office/drawing/2014/chart" uri="{C3380CC4-5D6E-409C-BE32-E72D297353CC}">
              <c16:uniqueId val="{00000000-E61C-6741-BE16-403A51ED54EE}"/>
            </c:ext>
          </c:extLst>
        </c:ser>
        <c:dLbls>
          <c:showLegendKey val="0"/>
          <c:showVal val="0"/>
          <c:showCatName val="0"/>
          <c:showSerName val="0"/>
          <c:showPercent val="0"/>
          <c:showBubbleSize val="0"/>
        </c:dLbls>
        <c:axId val="1312960299"/>
        <c:axId val="594194492"/>
      </c:scatterChart>
      <c:valAx>
        <c:axId val="1312960299"/>
        <c:scaling>
          <c:orientation val="minMax"/>
        </c:scaling>
        <c:delete val="0"/>
        <c:axPos val="b"/>
        <c:title>
          <c:tx>
            <c:rich>
              <a:bodyPr/>
              <a:lstStyle/>
              <a:p>
                <a:pPr lvl="0">
                  <a:defRPr b="1" i="0">
                    <a:solidFill>
                      <a:srgbClr val="000000"/>
                    </a:solidFill>
                    <a:latin typeface="+mn-lt"/>
                  </a:defRPr>
                </a:pPr>
                <a:r>
                  <a:rPr lang="en-US" b="1" i="0">
                    <a:solidFill>
                      <a:srgbClr val="000000"/>
                    </a:solidFill>
                    <a:latin typeface="+mn-lt"/>
                  </a:rPr>
                  <a:t>Sample T</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594194492"/>
        <c:crosses val="autoZero"/>
        <c:crossBetween val="midCat"/>
      </c:valAx>
      <c:valAx>
        <c:axId val="594194492"/>
        <c:scaling>
          <c:orientation val="minMax"/>
        </c:scaling>
        <c:delete val="0"/>
        <c:axPos val="l"/>
        <c:title>
          <c:tx>
            <c:rich>
              <a:bodyPr/>
              <a:lstStyle/>
              <a:p>
                <a:pPr lvl="0">
                  <a:defRPr b="1" i="0">
                    <a:solidFill>
                      <a:srgbClr val="000000"/>
                    </a:solidFill>
                    <a:latin typeface="+mn-lt"/>
                  </a:defRPr>
                </a:pPr>
                <a:r>
                  <a:rPr lang="en-US" b="1" i="0">
                    <a:solidFill>
                      <a:srgbClr val="000000"/>
                    </a:solidFill>
                    <a:latin typeface="+mn-lt"/>
                  </a:rPr>
                  <a:t>Deviation T</a:t>
                </a: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1312960299"/>
        <c:crosses val="autoZero"/>
        <c:crossBetween val="midCat"/>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US" b="1" i="0">
                <a:solidFill>
                  <a:srgbClr val="757575"/>
                </a:solidFill>
                <a:latin typeface="+mn-lt"/>
              </a:rPr>
              <a:t>Second Spool - 2015</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'Second_TC deviation'!$I$7:$I$50</c:f>
              <c:numCache>
                <c:formatCode>General</c:formatCode>
                <c:ptCount val="44"/>
                <c:pt idx="0" formatCode="0">
                  <c:v>93.333333333333343</c:v>
                </c:pt>
                <c:pt idx="1">
                  <c:v>100</c:v>
                </c:pt>
                <c:pt idx="2">
                  <c:v>200</c:v>
                </c:pt>
                <c:pt idx="3" formatCode="0">
                  <c:v>204.44444444444446</c:v>
                </c:pt>
                <c:pt idx="4">
                  <c:v>300</c:v>
                </c:pt>
                <c:pt idx="5" formatCode="0">
                  <c:v>315.55555555555554</c:v>
                </c:pt>
                <c:pt idx="6">
                  <c:v>400</c:v>
                </c:pt>
                <c:pt idx="7" formatCode="0">
                  <c:v>426.66666666666669</c:v>
                </c:pt>
                <c:pt idx="8">
                  <c:v>500</c:v>
                </c:pt>
                <c:pt idx="9" formatCode="0">
                  <c:v>537.77777777777783</c:v>
                </c:pt>
                <c:pt idx="10">
                  <c:v>600</c:v>
                </c:pt>
                <c:pt idx="11" formatCode="0">
                  <c:v>648.88888888888891</c:v>
                </c:pt>
                <c:pt idx="12">
                  <c:v>700</c:v>
                </c:pt>
                <c:pt idx="13" formatCode="0">
                  <c:v>760</c:v>
                </c:pt>
                <c:pt idx="14">
                  <c:v>800</c:v>
                </c:pt>
                <c:pt idx="15" formatCode="0">
                  <c:v>871.1111111111112</c:v>
                </c:pt>
                <c:pt idx="16">
                  <c:v>900</c:v>
                </c:pt>
                <c:pt idx="17" formatCode="0">
                  <c:v>982.22222222222229</c:v>
                </c:pt>
                <c:pt idx="18">
                  <c:v>1000</c:v>
                </c:pt>
                <c:pt idx="19" formatCode="0">
                  <c:v>1093.3333333333335</c:v>
                </c:pt>
                <c:pt idx="20">
                  <c:v>1100</c:v>
                </c:pt>
                <c:pt idx="21">
                  <c:v>1200</c:v>
                </c:pt>
                <c:pt idx="22" formatCode="0">
                  <c:v>1204.4444444444446</c:v>
                </c:pt>
                <c:pt idx="23">
                  <c:v>1300</c:v>
                </c:pt>
                <c:pt idx="24" formatCode="0">
                  <c:v>1315.5555555555557</c:v>
                </c:pt>
                <c:pt idx="25">
                  <c:v>1400</c:v>
                </c:pt>
                <c:pt idx="26" formatCode="0">
                  <c:v>1426.6666666666667</c:v>
                </c:pt>
                <c:pt idx="27">
                  <c:v>1500</c:v>
                </c:pt>
                <c:pt idx="28" formatCode="0">
                  <c:v>1537.7777777777778</c:v>
                </c:pt>
                <c:pt idx="29">
                  <c:v>1600</c:v>
                </c:pt>
                <c:pt idx="30" formatCode="0">
                  <c:v>1648.8888888888889</c:v>
                </c:pt>
                <c:pt idx="31">
                  <c:v>1700</c:v>
                </c:pt>
                <c:pt idx="32" formatCode="0">
                  <c:v>1760</c:v>
                </c:pt>
                <c:pt idx="33">
                  <c:v>1800</c:v>
                </c:pt>
                <c:pt idx="34" formatCode="0">
                  <c:v>1871.1111111111111</c:v>
                </c:pt>
                <c:pt idx="35">
                  <c:v>1900</c:v>
                </c:pt>
                <c:pt idx="36" formatCode="0">
                  <c:v>1982.2222222222224</c:v>
                </c:pt>
                <c:pt idx="37">
                  <c:v>2000</c:v>
                </c:pt>
                <c:pt idx="38" formatCode="0">
                  <c:v>2093.3333333333335</c:v>
                </c:pt>
                <c:pt idx="39">
                  <c:v>2100</c:v>
                </c:pt>
                <c:pt idx="40">
                  <c:v>2200</c:v>
                </c:pt>
                <c:pt idx="41" formatCode="0">
                  <c:v>2204.4444444444443</c:v>
                </c:pt>
                <c:pt idx="42">
                  <c:v>2300</c:v>
                </c:pt>
                <c:pt idx="43" formatCode="0">
                  <c:v>2315.5555555555557</c:v>
                </c:pt>
              </c:numCache>
            </c:numRef>
          </c:xVal>
          <c:yVal>
            <c:numRef>
              <c:f>'Second_TC deviation'!$J$7:$J$50</c:f>
              <c:numCache>
                <c:formatCode>0.0</c:formatCode>
                <c:ptCount val="44"/>
                <c:pt idx="0">
                  <c:v>3.2222222222222285</c:v>
                </c:pt>
                <c:pt idx="1">
                  <c:v>3.2</c:v>
                </c:pt>
                <c:pt idx="2">
                  <c:v>3.4</c:v>
                </c:pt>
                <c:pt idx="3">
                  <c:v>3.4444444444444287</c:v>
                </c:pt>
                <c:pt idx="4">
                  <c:v>3.7</c:v>
                </c:pt>
                <c:pt idx="5">
                  <c:v>3.7222222222222854</c:v>
                </c:pt>
                <c:pt idx="6">
                  <c:v>4.0999999999999996</c:v>
                </c:pt>
                <c:pt idx="7">
                  <c:v>4.2222222222222285</c:v>
                </c:pt>
                <c:pt idx="8">
                  <c:v>4.7</c:v>
                </c:pt>
                <c:pt idx="9">
                  <c:v>5</c:v>
                </c:pt>
                <c:pt idx="10">
                  <c:v>5.4</c:v>
                </c:pt>
                <c:pt idx="11">
                  <c:v>5.7777777777778283</c:v>
                </c:pt>
                <c:pt idx="12">
                  <c:v>6.1</c:v>
                </c:pt>
                <c:pt idx="13">
                  <c:v>6.3888888888889142</c:v>
                </c:pt>
                <c:pt idx="14">
                  <c:v>6.7</c:v>
                </c:pt>
                <c:pt idx="15">
                  <c:v>7.2222222222221717</c:v>
                </c:pt>
                <c:pt idx="16">
                  <c:v>7.4</c:v>
                </c:pt>
                <c:pt idx="17">
                  <c:v>7.8888888888889142</c:v>
                </c:pt>
                <c:pt idx="18">
                  <c:v>7.9</c:v>
                </c:pt>
                <c:pt idx="19">
                  <c:v>8.3333333333332575</c:v>
                </c:pt>
                <c:pt idx="20">
                  <c:v>8.4</c:v>
                </c:pt>
                <c:pt idx="21">
                  <c:v>8.8000000000000007</c:v>
                </c:pt>
                <c:pt idx="22">
                  <c:v>8.7777777777778283</c:v>
                </c:pt>
                <c:pt idx="23">
                  <c:v>9</c:v>
                </c:pt>
                <c:pt idx="24">
                  <c:v>9.0555555555556566</c:v>
                </c:pt>
                <c:pt idx="25">
                  <c:v>9</c:v>
                </c:pt>
                <c:pt idx="26">
                  <c:v>9.0555555555556566</c:v>
                </c:pt>
                <c:pt idx="27">
                  <c:v>9.3000000000000007</c:v>
                </c:pt>
                <c:pt idx="28">
                  <c:v>9.5</c:v>
                </c:pt>
                <c:pt idx="29">
                  <c:v>9.9</c:v>
                </c:pt>
                <c:pt idx="30">
                  <c:v>10.222222222222399</c:v>
                </c:pt>
                <c:pt idx="31">
                  <c:v>11.1</c:v>
                </c:pt>
                <c:pt idx="32">
                  <c:v>12.166666666666742</c:v>
                </c:pt>
                <c:pt idx="33">
                  <c:v>13.3</c:v>
                </c:pt>
                <c:pt idx="34">
                  <c:v>15.444444444444571</c:v>
                </c:pt>
                <c:pt idx="35">
                  <c:v>16</c:v>
                </c:pt>
                <c:pt idx="36">
                  <c:v>17.833333333333258</c:v>
                </c:pt>
                <c:pt idx="37">
                  <c:v>18</c:v>
                </c:pt>
                <c:pt idx="38">
                  <c:v>18.833333333333485</c:v>
                </c:pt>
                <c:pt idx="39">
                  <c:v>18.8</c:v>
                </c:pt>
                <c:pt idx="40">
                  <c:v>18</c:v>
                </c:pt>
                <c:pt idx="41">
                  <c:v>18.000000000000455</c:v>
                </c:pt>
                <c:pt idx="42">
                  <c:v>18.399999999999999</c:v>
                </c:pt>
                <c:pt idx="43">
                  <c:v>18.5</c:v>
                </c:pt>
              </c:numCache>
            </c:numRef>
          </c:yVal>
          <c:smooth val="1"/>
          <c:extLst>
            <c:ext xmlns:c16="http://schemas.microsoft.com/office/drawing/2014/chart" uri="{C3380CC4-5D6E-409C-BE32-E72D297353CC}">
              <c16:uniqueId val="{00000000-DEAA-1446-80B1-26E538F1DF08}"/>
            </c:ext>
          </c:extLst>
        </c:ser>
        <c:dLbls>
          <c:showLegendKey val="0"/>
          <c:showVal val="0"/>
          <c:showCatName val="0"/>
          <c:showSerName val="0"/>
          <c:showPercent val="0"/>
          <c:showBubbleSize val="0"/>
        </c:dLbls>
        <c:axId val="115889890"/>
        <c:axId val="80142026"/>
      </c:scatterChart>
      <c:valAx>
        <c:axId val="115889890"/>
        <c:scaling>
          <c:orientation val="minMax"/>
        </c:scaling>
        <c:delete val="0"/>
        <c:axPos val="b"/>
        <c:title>
          <c:tx>
            <c:rich>
              <a:bodyPr/>
              <a:lstStyle/>
              <a:p>
                <a:pPr lvl="0">
                  <a:defRPr b="1" i="0">
                    <a:solidFill>
                      <a:srgbClr val="000000"/>
                    </a:solidFill>
                    <a:latin typeface="+mn-lt"/>
                  </a:defRPr>
                </a:pPr>
                <a:r>
                  <a:rPr lang="en-US" b="1" i="0">
                    <a:solidFill>
                      <a:srgbClr val="000000"/>
                    </a:solidFill>
                    <a:latin typeface="+mn-lt"/>
                  </a:rPr>
                  <a:t>Sample T</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80142026"/>
        <c:crosses val="autoZero"/>
        <c:crossBetween val="midCat"/>
      </c:valAx>
      <c:valAx>
        <c:axId val="80142026"/>
        <c:scaling>
          <c:orientation val="minMax"/>
        </c:scaling>
        <c:delete val="0"/>
        <c:axPos val="l"/>
        <c:title>
          <c:tx>
            <c:rich>
              <a:bodyPr/>
              <a:lstStyle/>
              <a:p>
                <a:pPr lvl="0">
                  <a:defRPr b="1" i="0">
                    <a:solidFill>
                      <a:srgbClr val="000000"/>
                    </a:solidFill>
                    <a:latin typeface="+mn-lt"/>
                  </a:defRPr>
                </a:pPr>
                <a:r>
                  <a:rPr lang="en-US" b="1" i="0">
                    <a:solidFill>
                      <a:srgbClr val="000000"/>
                    </a:solidFill>
                    <a:latin typeface="+mn-lt"/>
                  </a:rPr>
                  <a:t>Deviation T</a:t>
                </a: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115889890"/>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US" b="1" i="0">
                <a:solidFill>
                  <a:srgbClr val="757575"/>
                </a:solidFill>
                <a:latin typeface="+mn-lt"/>
              </a:rPr>
              <a:t>T19 Calculated Temperature Profile</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'Data for Taylor'!$B$4:$B$76</c:f>
              <c:numCache>
                <c:formatCode>General</c:formatCode>
                <c:ptCount val="73"/>
                <c:pt idx="0">
                  <c:v>5.6096000000000004</c:v>
                </c:pt>
                <c:pt idx="1">
                  <c:v>5.8596000000000004</c:v>
                </c:pt>
                <c:pt idx="2">
                  <c:v>6.1096000000000004</c:v>
                </c:pt>
                <c:pt idx="3">
                  <c:v>6.3596000000000004</c:v>
                </c:pt>
                <c:pt idx="4">
                  <c:v>6.6096000000000004</c:v>
                </c:pt>
                <c:pt idx="5">
                  <c:v>6.8596000000000004</c:v>
                </c:pt>
                <c:pt idx="6">
                  <c:v>7.1096000000000004</c:v>
                </c:pt>
                <c:pt idx="7">
                  <c:v>7.3596000000000004</c:v>
                </c:pt>
                <c:pt idx="8">
                  <c:v>7.6096000000000004</c:v>
                </c:pt>
                <c:pt idx="9">
                  <c:v>7.8596000000000004</c:v>
                </c:pt>
                <c:pt idx="10">
                  <c:v>8.1096000000000004</c:v>
                </c:pt>
                <c:pt idx="11">
                  <c:v>8.3596000000000004</c:v>
                </c:pt>
                <c:pt idx="12">
                  <c:v>8.6096000000000004</c:v>
                </c:pt>
                <c:pt idx="13">
                  <c:v>8.8596000000000004</c:v>
                </c:pt>
                <c:pt idx="14">
                  <c:v>9.6096000000000004</c:v>
                </c:pt>
                <c:pt idx="15">
                  <c:v>9.7096</c:v>
                </c:pt>
                <c:pt idx="16">
                  <c:v>9.8095999999999997</c:v>
                </c:pt>
                <c:pt idx="17">
                  <c:v>9.9095999999999993</c:v>
                </c:pt>
                <c:pt idx="18">
                  <c:v>10.009599999999999</c:v>
                </c:pt>
                <c:pt idx="19">
                  <c:v>10.109599999999999</c:v>
                </c:pt>
                <c:pt idx="20">
                  <c:v>10.209599999999998</c:v>
                </c:pt>
                <c:pt idx="21">
                  <c:v>10.309599999999998</c:v>
                </c:pt>
                <c:pt idx="22">
                  <c:v>10.409599999999998</c:v>
                </c:pt>
                <c:pt idx="23">
                  <c:v>10.509599999999997</c:v>
                </c:pt>
                <c:pt idx="24">
                  <c:v>10.609599999999997</c:v>
                </c:pt>
                <c:pt idx="25">
                  <c:v>10.709599999999996</c:v>
                </c:pt>
                <c:pt idx="26">
                  <c:v>10.809599999999996</c:v>
                </c:pt>
                <c:pt idx="27">
                  <c:v>10.909599999999996</c:v>
                </c:pt>
                <c:pt idx="28">
                  <c:v>11.009599999999995</c:v>
                </c:pt>
                <c:pt idx="29">
                  <c:v>11.109599999999995</c:v>
                </c:pt>
                <c:pt idx="30">
                  <c:v>11.209599999999995</c:v>
                </c:pt>
                <c:pt idx="31">
                  <c:v>11.309599999999994</c:v>
                </c:pt>
                <c:pt idx="32">
                  <c:v>11.409599999999994</c:v>
                </c:pt>
                <c:pt idx="33">
                  <c:v>11.509599999999994</c:v>
                </c:pt>
                <c:pt idx="34">
                  <c:v>11.609599999999993</c:v>
                </c:pt>
                <c:pt idx="35">
                  <c:v>11.709599999999993</c:v>
                </c:pt>
                <c:pt idx="36">
                  <c:v>11.809599999999993</c:v>
                </c:pt>
                <c:pt idx="37">
                  <c:v>11.909599999999992</c:v>
                </c:pt>
                <c:pt idx="38">
                  <c:v>12.009599999999992</c:v>
                </c:pt>
                <c:pt idx="39">
                  <c:v>12.109599999999991</c:v>
                </c:pt>
                <c:pt idx="40">
                  <c:v>12.209599999999991</c:v>
                </c:pt>
                <c:pt idx="41">
                  <c:v>12.309599999999991</c:v>
                </c:pt>
                <c:pt idx="42">
                  <c:v>12.40959999999999</c:v>
                </c:pt>
                <c:pt idx="43">
                  <c:v>12.50959999999999</c:v>
                </c:pt>
                <c:pt idx="44">
                  <c:v>12.60959999999999</c:v>
                </c:pt>
                <c:pt idx="45">
                  <c:v>12.709599999999989</c:v>
                </c:pt>
                <c:pt idx="46">
                  <c:v>12.809599999999989</c:v>
                </c:pt>
                <c:pt idx="47">
                  <c:v>12.909599999999989</c:v>
                </c:pt>
                <c:pt idx="48">
                  <c:v>13.009599999999988</c:v>
                </c:pt>
                <c:pt idx="49">
                  <c:v>13.109599999999988</c:v>
                </c:pt>
                <c:pt idx="50">
                  <c:v>13.209599999999988</c:v>
                </c:pt>
                <c:pt idx="51">
                  <c:v>13.309599999999987</c:v>
                </c:pt>
                <c:pt idx="52">
                  <c:v>13.409599999999987</c:v>
                </c:pt>
                <c:pt idx="53">
                  <c:v>13.509599999999987</c:v>
                </c:pt>
                <c:pt idx="54">
                  <c:v>13.609599999999986</c:v>
                </c:pt>
                <c:pt idx="55">
                  <c:v>13.709599999999986</c:v>
                </c:pt>
                <c:pt idx="56">
                  <c:v>13.809599999999985</c:v>
                </c:pt>
                <c:pt idx="57">
                  <c:v>13.909599999999985</c:v>
                </c:pt>
                <c:pt idx="58">
                  <c:v>14.009599999999985</c:v>
                </c:pt>
                <c:pt idx="59">
                  <c:v>14.109599999999984</c:v>
                </c:pt>
                <c:pt idx="60">
                  <c:v>14.209599999999984</c:v>
                </c:pt>
                <c:pt idx="61">
                  <c:v>14.309599999999984</c:v>
                </c:pt>
                <c:pt idx="62">
                  <c:v>14.409599999999983</c:v>
                </c:pt>
                <c:pt idx="63">
                  <c:v>14.509599999999983</c:v>
                </c:pt>
                <c:pt idx="64">
                  <c:v>14.609599999999983</c:v>
                </c:pt>
                <c:pt idx="65">
                  <c:v>14.709599999999982</c:v>
                </c:pt>
                <c:pt idx="66">
                  <c:v>14.809599999999982</c:v>
                </c:pt>
                <c:pt idx="67">
                  <c:v>14.909599999999982</c:v>
                </c:pt>
                <c:pt idx="68">
                  <c:v>15.009599999999981</c:v>
                </c:pt>
                <c:pt idx="69">
                  <c:v>15.109599999999981</c:v>
                </c:pt>
                <c:pt idx="70">
                  <c:v>15.20959999999998</c:v>
                </c:pt>
                <c:pt idx="71">
                  <c:v>15.3596</c:v>
                </c:pt>
                <c:pt idx="72">
                  <c:v>15.7096</c:v>
                </c:pt>
              </c:numCache>
            </c:numRef>
          </c:xVal>
          <c:yVal>
            <c:numRef>
              <c:f>'Data for Taylor'!$C$4:$C$76</c:f>
              <c:numCache>
                <c:formatCode>General</c:formatCode>
                <c:ptCount val="73"/>
                <c:pt idx="0">
                  <c:v>874.82034444026579</c:v>
                </c:pt>
                <c:pt idx="1">
                  <c:v>867.2173526398816</c:v>
                </c:pt>
                <c:pt idx="2">
                  <c:v>879.71211232004737</c:v>
                </c:pt>
                <c:pt idx="3">
                  <c:v>881.56246869617814</c:v>
                </c:pt>
                <c:pt idx="4">
                  <c:v>902.88612490626804</c:v>
                </c:pt>
                <c:pt idx="5">
                  <c:v>910.17967109838139</c:v>
                </c:pt>
                <c:pt idx="6">
                  <c:v>909.02099569083805</c:v>
                </c:pt>
                <c:pt idx="7">
                  <c:v>910.17967109838139</c:v>
                </c:pt>
                <c:pt idx="8">
                  <c:v>916.20129999556855</c:v>
                </c:pt>
                <c:pt idx="9">
                  <c:v>922.65904946350008</c:v>
                </c:pt>
                <c:pt idx="10">
                  <c:v>928.9633090719409</c:v>
                </c:pt>
                <c:pt idx="11">
                  <c:v>920.73983329858527</c:v>
                </c:pt>
                <c:pt idx="12">
                  <c:v>928.09903754942741</c:v>
                </c:pt>
                <c:pt idx="13">
                  <c:v>931.49001070168731</c:v>
                </c:pt>
                <c:pt idx="14">
                  <c:v>937.41421417452818</c:v>
                </c:pt>
                <c:pt idx="15">
                  <c:v>937.79100536889894</c:v>
                </c:pt>
                <c:pt idx="16">
                  <c:v>933.92354425461747</c:v>
                </c:pt>
                <c:pt idx="17">
                  <c:v>932.31117862300823</c:v>
                </c:pt>
                <c:pt idx="18">
                  <c:v>933.12227045932252</c:v>
                </c:pt>
                <c:pt idx="19">
                  <c:v>951.96775365503538</c:v>
                </c:pt>
                <c:pt idx="20">
                  <c:v>939.2772639112269</c:v>
                </c:pt>
                <c:pt idx="21">
                  <c:v>936.27089162698337</c:v>
                </c:pt>
                <c:pt idx="22">
                  <c:v>934.71524810433914</c:v>
                </c:pt>
                <c:pt idx="23">
                  <c:v>938.53826660252037</c:v>
                </c:pt>
                <c:pt idx="24">
                  <c:v>944.91334350616501</c:v>
                </c:pt>
                <c:pt idx="25">
                  <c:v>935.49762066424466</c:v>
                </c:pt>
                <c:pt idx="26">
                  <c:v>934.71524810433914</c:v>
                </c:pt>
                <c:pt idx="27">
                  <c:v>940.00818835045595</c:v>
                </c:pt>
                <c:pt idx="28">
                  <c:v>939.2772639112269</c:v>
                </c:pt>
                <c:pt idx="29">
                  <c:v>939.2772639112269</c:v>
                </c:pt>
                <c:pt idx="30">
                  <c:v>946.25168594546324</c:v>
                </c:pt>
                <c:pt idx="31">
                  <c:v>945.58582445316404</c:v>
                </c:pt>
                <c:pt idx="32">
                  <c:v>942.85475181605614</c:v>
                </c:pt>
                <c:pt idx="33">
                  <c:v>939.2772639112269</c:v>
                </c:pt>
                <c:pt idx="34">
                  <c:v>943.20224507554565</c:v>
                </c:pt>
                <c:pt idx="35">
                  <c:v>945.58582445316404</c:v>
                </c:pt>
                <c:pt idx="36">
                  <c:v>954.94808777324067</c:v>
                </c:pt>
                <c:pt idx="37">
                  <c:v>946.9110644297208</c:v>
                </c:pt>
                <c:pt idx="38">
                  <c:v>945.58582445316404</c:v>
                </c:pt>
                <c:pt idx="39">
                  <c:v>943.5479551093116</c:v>
                </c:pt>
                <c:pt idx="40">
                  <c:v>940.00818835045595</c:v>
                </c:pt>
                <c:pt idx="41">
                  <c:v>944.2341022265158</c:v>
                </c:pt>
                <c:pt idx="42">
                  <c:v>944.2341022265158</c:v>
                </c:pt>
                <c:pt idx="43">
                  <c:v>942.15433695629793</c:v>
                </c:pt>
                <c:pt idx="44">
                  <c:v>941.80137519151879</c:v>
                </c:pt>
                <c:pt idx="45">
                  <c:v>946.9110644297208</c:v>
                </c:pt>
                <c:pt idx="46">
                  <c:v>940.73122431688773</c:v>
                </c:pt>
                <c:pt idx="47">
                  <c:v>944.91334350616501</c:v>
                </c:pt>
                <c:pt idx="48">
                  <c:v>941.44654985673208</c:v>
                </c:pt>
                <c:pt idx="49">
                  <c:v>942.15433695629793</c:v>
                </c:pt>
                <c:pt idx="50">
                  <c:v>942.85475181605614</c:v>
                </c:pt>
                <c:pt idx="51">
                  <c:v>936.27089162698337</c:v>
                </c:pt>
                <c:pt idx="52">
                  <c:v>938.53826660252037</c:v>
                </c:pt>
                <c:pt idx="53">
                  <c:v>941.44654985673208</c:v>
                </c:pt>
                <c:pt idx="54">
                  <c:v>942.15433695629793</c:v>
                </c:pt>
                <c:pt idx="55">
                  <c:v>938.53826660252037</c:v>
                </c:pt>
                <c:pt idx="56">
                  <c:v>940.73122431688773</c:v>
                </c:pt>
                <c:pt idx="57">
                  <c:v>940.00818835045595</c:v>
                </c:pt>
                <c:pt idx="58">
                  <c:v>937.79100536889894</c:v>
                </c:pt>
                <c:pt idx="59">
                  <c:v>939.2772639112269</c:v>
                </c:pt>
                <c:pt idx="60">
                  <c:v>937.79100536889894</c:v>
                </c:pt>
                <c:pt idx="61">
                  <c:v>930.65849815904619</c:v>
                </c:pt>
                <c:pt idx="62">
                  <c:v>931.49001070168754</c:v>
                </c:pt>
                <c:pt idx="63">
                  <c:v>940.00818835045595</c:v>
                </c:pt>
                <c:pt idx="64">
                  <c:v>930.65849815904619</c:v>
                </c:pt>
                <c:pt idx="65">
                  <c:v>940.73122431688773</c:v>
                </c:pt>
                <c:pt idx="66">
                  <c:v>937.79100536889894</c:v>
                </c:pt>
                <c:pt idx="67">
                  <c:v>925.43567014411121</c:v>
                </c:pt>
                <c:pt idx="68">
                  <c:v>930.65849815904619</c:v>
                </c:pt>
                <c:pt idx="69">
                  <c:v>925.43567014411121</c:v>
                </c:pt>
                <c:pt idx="70">
                  <c:v>925.43567014411121</c:v>
                </c:pt>
                <c:pt idx="71">
                  <c:v>911.87903682909052</c:v>
                </c:pt>
                <c:pt idx="72">
                  <c:v>915.67669594681172</c:v>
                </c:pt>
              </c:numCache>
            </c:numRef>
          </c:yVal>
          <c:smooth val="1"/>
          <c:extLst>
            <c:ext xmlns:c16="http://schemas.microsoft.com/office/drawing/2014/chart" uri="{C3380CC4-5D6E-409C-BE32-E72D297353CC}">
              <c16:uniqueId val="{00000000-80E5-3046-B254-DBF8FB246CDC}"/>
            </c:ext>
          </c:extLst>
        </c:ser>
        <c:dLbls>
          <c:showLegendKey val="0"/>
          <c:showVal val="0"/>
          <c:showCatName val="0"/>
          <c:showSerName val="0"/>
          <c:showPercent val="0"/>
          <c:showBubbleSize val="0"/>
        </c:dLbls>
        <c:axId val="560613502"/>
        <c:axId val="163837522"/>
      </c:scatterChart>
      <c:valAx>
        <c:axId val="560613502"/>
        <c:scaling>
          <c:orientation val="minMax"/>
          <c:min val="5"/>
        </c:scaling>
        <c:delete val="0"/>
        <c:axPos val="b"/>
        <c:title>
          <c:tx>
            <c:rich>
              <a:bodyPr/>
              <a:lstStyle/>
              <a:p>
                <a:pPr lvl="0">
                  <a:defRPr b="1" i="0">
                    <a:solidFill>
                      <a:srgbClr val="000000"/>
                    </a:solidFill>
                    <a:latin typeface="+mn-lt"/>
                  </a:defRPr>
                </a:pPr>
                <a:r>
                  <a:rPr lang="en-US" b="1" i="0">
                    <a:solidFill>
                      <a:srgbClr val="000000"/>
                    </a:solidFill>
                    <a:latin typeface="+mn-lt"/>
                  </a:rPr>
                  <a:t>mm from steel plug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63837522"/>
        <c:crosses val="autoZero"/>
        <c:crossBetween val="midCat"/>
      </c:valAx>
      <c:valAx>
        <c:axId val="163837522"/>
        <c:scaling>
          <c:orientation val="minMax"/>
        </c:scaling>
        <c:delete val="0"/>
        <c:axPos val="l"/>
        <c:title>
          <c:tx>
            <c:rich>
              <a:bodyPr/>
              <a:lstStyle/>
              <a:p>
                <a:pPr lvl="0">
                  <a:defRPr b="1" i="0">
                    <a:solidFill>
                      <a:srgbClr val="000000"/>
                    </a:solidFill>
                    <a:latin typeface="+mn-lt"/>
                  </a:defRPr>
                </a:pPr>
                <a:r>
                  <a:rPr lang="en-US" b="1" i="0">
                    <a:solidFill>
                      <a:srgbClr val="000000"/>
                    </a:solidFill>
                    <a:latin typeface="+mn-lt"/>
                  </a:rPr>
                  <a:t>Temp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60613502"/>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US" b="1" i="0">
                <a:solidFill>
                  <a:srgbClr val="757575"/>
                </a:solidFill>
                <a:latin typeface="+mn-lt"/>
              </a:rPr>
              <a:t>R6 Calculated Temperature Profile</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'Data for Rosie'!$B$4:$B$35</c:f>
              <c:numCache>
                <c:formatCode>General</c:formatCode>
                <c:ptCount val="32"/>
                <c:pt idx="0">
                  <c:v>4.0106000000000002</c:v>
                </c:pt>
                <c:pt idx="1">
                  <c:v>4.0405999999999995</c:v>
                </c:pt>
                <c:pt idx="2">
                  <c:v>4.9656000000000002</c:v>
                </c:pt>
                <c:pt idx="3">
                  <c:v>4.9695999999999989</c:v>
                </c:pt>
                <c:pt idx="4">
                  <c:v>5.9155999999999995</c:v>
                </c:pt>
                <c:pt idx="5">
                  <c:v>5.9265999999999996</c:v>
                </c:pt>
                <c:pt idx="6">
                  <c:v>6.8065999999999987</c:v>
                </c:pt>
                <c:pt idx="7">
                  <c:v>6.8485999999999994</c:v>
                </c:pt>
                <c:pt idx="8">
                  <c:v>7.746599999999999</c:v>
                </c:pt>
                <c:pt idx="9">
                  <c:v>7.7995999999999999</c:v>
                </c:pt>
                <c:pt idx="10">
                  <c:v>8.6815999999999978</c:v>
                </c:pt>
                <c:pt idx="11">
                  <c:v>8.7365999999999993</c:v>
                </c:pt>
                <c:pt idx="12">
                  <c:v>9.566599999999994</c:v>
                </c:pt>
                <c:pt idx="13">
                  <c:v>9.6395999999999997</c:v>
                </c:pt>
                <c:pt idx="14">
                  <c:v>10.507599999999995</c:v>
                </c:pt>
                <c:pt idx="15">
                  <c:v>10.594599999999998</c:v>
                </c:pt>
                <c:pt idx="16">
                  <c:v>11.507599999999995</c:v>
                </c:pt>
                <c:pt idx="17">
                  <c:v>11.529599999999997</c:v>
                </c:pt>
                <c:pt idx="18">
                  <c:v>12.460599999999992</c:v>
                </c:pt>
                <c:pt idx="19">
                  <c:v>12.475599999999998</c:v>
                </c:pt>
                <c:pt idx="20">
                  <c:v>13.394599999999992</c:v>
                </c:pt>
                <c:pt idx="21">
                  <c:v>13.419600000000001</c:v>
                </c:pt>
                <c:pt idx="22">
                  <c:v>14.34859999999999</c:v>
                </c:pt>
                <c:pt idx="23">
                  <c:v>14.362599999999999</c:v>
                </c:pt>
                <c:pt idx="24">
                  <c:v>15.28159999999999</c:v>
                </c:pt>
                <c:pt idx="25">
                  <c:v>15.319599999999999</c:v>
                </c:pt>
                <c:pt idx="26">
                  <c:v>16.193599999999989</c:v>
                </c:pt>
                <c:pt idx="27">
                  <c:v>16.213599999999996</c:v>
                </c:pt>
                <c:pt idx="28">
                  <c:v>17.15059999999999</c:v>
                </c:pt>
                <c:pt idx="29">
                  <c:v>17.157599999999999</c:v>
                </c:pt>
                <c:pt idx="30">
                  <c:v>18.123599999999993</c:v>
                </c:pt>
                <c:pt idx="31">
                  <c:v>18.124599999999994</c:v>
                </c:pt>
              </c:numCache>
            </c:numRef>
          </c:xVal>
          <c:yVal>
            <c:numRef>
              <c:f>'Data for Rosie'!$C$4:$C$35</c:f>
              <c:numCache>
                <c:formatCode>General</c:formatCode>
                <c:ptCount val="32"/>
                <c:pt idx="0">
                  <c:v>780.99697341691547</c:v>
                </c:pt>
                <c:pt idx="1">
                  <c:v>824.47062202525865</c:v>
                </c:pt>
                <c:pt idx="2">
                  <c:v>841.34771959836019</c:v>
                </c:pt>
                <c:pt idx="3">
                  <c:v>824.47062202525865</c:v>
                </c:pt>
                <c:pt idx="4">
                  <c:v>885.10145229211059</c:v>
                </c:pt>
                <c:pt idx="5">
                  <c:v>864.85213525369284</c:v>
                </c:pt>
                <c:pt idx="6">
                  <c:v>914.61444459792631</c:v>
                </c:pt>
                <c:pt idx="7">
                  <c:v>888.44561549924026</c:v>
                </c:pt>
                <c:pt idx="8">
                  <c:v>912.43556801411762</c:v>
                </c:pt>
                <c:pt idx="9">
                  <c:v>926.33555602271701</c:v>
                </c:pt>
                <c:pt idx="10">
                  <c:v>926.33555602271701</c:v>
                </c:pt>
                <c:pt idx="11">
                  <c:v>931.49001070168731</c:v>
                </c:pt>
                <c:pt idx="12">
                  <c:v>942.15433695629793</c:v>
                </c:pt>
                <c:pt idx="13">
                  <c:v>943.5479551093116</c:v>
                </c:pt>
                <c:pt idx="14">
                  <c:v>948.85160365756508</c:v>
                </c:pt>
                <c:pt idx="15">
                  <c:v>944.91334350616501</c:v>
                </c:pt>
                <c:pt idx="16">
                  <c:v>942.15433695629793</c:v>
                </c:pt>
                <c:pt idx="17">
                  <c:v>947.56409210668323</c:v>
                </c:pt>
                <c:pt idx="18">
                  <c:v>928.09903754942741</c:v>
                </c:pt>
                <c:pt idx="19">
                  <c:v>950.11519974243004</c:v>
                </c:pt>
                <c:pt idx="20">
                  <c:v>933.12227045932252</c:v>
                </c:pt>
                <c:pt idx="21">
                  <c:v>943.5479551093116</c:v>
                </c:pt>
                <c:pt idx="22">
                  <c:v>924.52321159144356</c:v>
                </c:pt>
                <c:pt idx="23">
                  <c:v>916.72165561076702</c:v>
                </c:pt>
                <c:pt idx="24">
                  <c:v>918.76200792080056</c:v>
                </c:pt>
                <c:pt idx="25">
                  <c:v>894.6314597563229</c:v>
                </c:pt>
                <c:pt idx="26">
                  <c:v>881.56246869617814</c:v>
                </c:pt>
                <c:pt idx="27">
                  <c:v>900.25416469570985</c:v>
                </c:pt>
                <c:pt idx="28">
                  <c:v>841.34771959836019</c:v>
                </c:pt>
                <c:pt idx="29">
                  <c:v>864.85213525369284</c:v>
                </c:pt>
                <c:pt idx="30">
                  <c:v>824.47062202525865</c:v>
                </c:pt>
                <c:pt idx="31">
                  <c:v>799.80241678896766</c:v>
                </c:pt>
              </c:numCache>
            </c:numRef>
          </c:yVal>
          <c:smooth val="1"/>
          <c:extLst>
            <c:ext xmlns:c16="http://schemas.microsoft.com/office/drawing/2014/chart" uri="{C3380CC4-5D6E-409C-BE32-E72D297353CC}">
              <c16:uniqueId val="{00000000-59A7-4E42-946A-9B54282AF18E}"/>
            </c:ext>
          </c:extLst>
        </c:ser>
        <c:dLbls>
          <c:showLegendKey val="0"/>
          <c:showVal val="0"/>
          <c:showCatName val="0"/>
          <c:showSerName val="0"/>
          <c:showPercent val="0"/>
          <c:showBubbleSize val="0"/>
        </c:dLbls>
        <c:axId val="503882915"/>
        <c:axId val="1047522572"/>
      </c:scatterChart>
      <c:valAx>
        <c:axId val="503882915"/>
        <c:scaling>
          <c:orientation val="minMax"/>
        </c:scaling>
        <c:delete val="0"/>
        <c:axPos val="b"/>
        <c:title>
          <c:tx>
            <c:rich>
              <a:bodyPr/>
              <a:lstStyle/>
              <a:p>
                <a:pPr lvl="0">
                  <a:defRPr b="1" i="0">
                    <a:solidFill>
                      <a:srgbClr val="000000"/>
                    </a:solidFill>
                    <a:latin typeface="+mn-lt"/>
                  </a:defRPr>
                </a:pPr>
                <a:r>
                  <a:rPr lang="en-US" b="1" i="0">
                    <a:solidFill>
                      <a:srgbClr val="000000"/>
                    </a:solidFill>
                    <a:latin typeface="+mn-lt"/>
                  </a:rPr>
                  <a:t>mm from steel plug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47522572"/>
        <c:crosses val="autoZero"/>
        <c:crossBetween val="midCat"/>
      </c:valAx>
      <c:valAx>
        <c:axId val="1047522572"/>
        <c:scaling>
          <c:orientation val="minMax"/>
          <c:min val="750"/>
        </c:scaling>
        <c:delete val="0"/>
        <c:axPos val="l"/>
        <c:title>
          <c:tx>
            <c:rich>
              <a:bodyPr/>
              <a:lstStyle/>
              <a:p>
                <a:pPr lvl="0">
                  <a:defRPr b="1" i="0">
                    <a:solidFill>
                      <a:srgbClr val="000000"/>
                    </a:solidFill>
                    <a:latin typeface="+mn-lt"/>
                  </a:defRPr>
                </a:pPr>
                <a:r>
                  <a:rPr lang="en-US" b="1" i="0">
                    <a:solidFill>
                      <a:srgbClr val="000000"/>
                    </a:solidFill>
                    <a:latin typeface="+mn-lt"/>
                  </a:rPr>
                  <a:t>Temp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03882915"/>
        <c:crosses val="autoZero"/>
        <c:crossBetween val="midCat"/>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114300</xdr:colOff>
      <xdr:row>50</xdr:row>
      <xdr:rowOff>133350</xdr:rowOff>
    </xdr:from>
    <xdr:ext cx="4638675" cy="2886075"/>
    <xdr:graphicFrame macro="">
      <xdr:nvGraphicFramePr>
        <xdr:cNvPr id="514412225" name="Chart 1">
          <a:extLst>
            <a:ext uri="{FF2B5EF4-FFF2-40B4-BE49-F238E27FC236}">
              <a16:creationId xmlns:a16="http://schemas.microsoft.com/office/drawing/2014/main" id="{00000000-0008-0000-0100-0000C14EA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495300</xdr:colOff>
      <xdr:row>50</xdr:row>
      <xdr:rowOff>180975</xdr:rowOff>
    </xdr:from>
    <xdr:ext cx="4610100" cy="2886075"/>
    <xdr:graphicFrame macro="">
      <xdr:nvGraphicFramePr>
        <xdr:cNvPr id="691713482" name="Chart 2">
          <a:extLst>
            <a:ext uri="{FF2B5EF4-FFF2-40B4-BE49-F238E27FC236}">
              <a16:creationId xmlns:a16="http://schemas.microsoft.com/office/drawing/2014/main" id="{00000000-0008-0000-0100-0000CAB53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561975</xdr:colOff>
      <xdr:row>1</xdr:row>
      <xdr:rowOff>142875</xdr:rowOff>
    </xdr:from>
    <xdr:ext cx="4343400" cy="2752725"/>
    <xdr:graphicFrame macro="">
      <xdr:nvGraphicFramePr>
        <xdr:cNvPr id="1909239705" name="Chart 3">
          <a:extLst>
            <a:ext uri="{FF2B5EF4-FFF2-40B4-BE49-F238E27FC236}">
              <a16:creationId xmlns:a16="http://schemas.microsoft.com/office/drawing/2014/main" id="{00000000-0008-0000-0200-000099AFC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152400</xdr:colOff>
      <xdr:row>2</xdr:row>
      <xdr:rowOff>247650</xdr:rowOff>
    </xdr:from>
    <xdr:ext cx="4457700" cy="2733675"/>
    <xdr:graphicFrame macro="">
      <xdr:nvGraphicFramePr>
        <xdr:cNvPr id="845033935" name="Chart 4">
          <a:extLst>
            <a:ext uri="{FF2B5EF4-FFF2-40B4-BE49-F238E27FC236}">
              <a16:creationId xmlns:a16="http://schemas.microsoft.com/office/drawing/2014/main" id="{00000000-0008-0000-0300-0000CF315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11" sqref="D11"/>
    </sheetView>
  </sheetViews>
  <sheetFormatPr baseColWidth="10" defaultColWidth="14.5" defaultRowHeight="15" customHeight="1" x14ac:dyDescent="0.2"/>
  <cols>
    <col min="1" max="1" width="8.6640625" customWidth="1"/>
    <col min="2" max="2" width="15.5" customWidth="1"/>
    <col min="3" max="3" width="11.5" customWidth="1"/>
    <col min="4" max="4" width="18.1640625" customWidth="1"/>
    <col min="5" max="5" width="14.33203125" customWidth="1"/>
    <col min="6" max="6" width="15.5" customWidth="1"/>
    <col min="7" max="7" width="10.83203125" customWidth="1"/>
    <col min="8" max="8" width="8.6640625" customWidth="1"/>
    <col min="9" max="9" width="10" customWidth="1"/>
    <col min="10" max="26" width="8.6640625" customWidth="1"/>
  </cols>
  <sheetData>
    <row r="1" spans="1:26" ht="45" customHeight="1" x14ac:dyDescent="0.2">
      <c r="B1" s="19" t="s">
        <v>0</v>
      </c>
      <c r="C1" s="20"/>
      <c r="D1" s="20"/>
      <c r="E1" s="20"/>
      <c r="F1" s="20"/>
      <c r="G1" s="20"/>
      <c r="H1" s="20"/>
      <c r="I1" s="20"/>
      <c r="J1" s="20"/>
      <c r="K1" s="20"/>
      <c r="L1" s="20"/>
    </row>
    <row r="4" spans="1:26" x14ac:dyDescent="0.2">
      <c r="B4" s="1" t="s">
        <v>1</v>
      </c>
    </row>
    <row r="5" spans="1:26" ht="48" x14ac:dyDescent="0.2">
      <c r="B5" s="2" t="s">
        <v>2</v>
      </c>
      <c r="C5" s="2" t="s">
        <v>3</v>
      </c>
      <c r="D5" s="2" t="s">
        <v>4</v>
      </c>
      <c r="E5" s="2" t="s">
        <v>5</v>
      </c>
      <c r="F5" s="2" t="s">
        <v>6</v>
      </c>
      <c r="G5" s="3" t="s">
        <v>7</v>
      </c>
      <c r="H5" s="2"/>
      <c r="I5" s="2"/>
    </row>
    <row r="6" spans="1:26" x14ac:dyDescent="0.2">
      <c r="B6" s="4">
        <v>0.02</v>
      </c>
      <c r="C6" s="5">
        <v>0.3</v>
      </c>
      <c r="D6" s="6">
        <f t="shared" ref="D6:E6" si="0">B6*25.4</f>
        <v>0.50800000000000001</v>
      </c>
      <c r="E6" s="6">
        <f t="shared" si="0"/>
        <v>7.6199999999999992</v>
      </c>
      <c r="F6" s="6">
        <f>(E6/2)+(D6*0.756)</f>
        <v>4.1940479999999996</v>
      </c>
      <c r="G6" s="7">
        <f>((0.037129*(11.76922856
^3))-(2.9693*(11.76922856
^2))+(54.464*11.76922856
)+654.14)-((0.037129*((11.76922856-F6)
^3))-(2.9693*((11.76922856-F6)
^2))+(54.464*(11.76922856-F6)
)+654.14)</f>
        <v>31.909771004660684</v>
      </c>
    </row>
    <row r="7" spans="1:26" x14ac:dyDescent="0.2">
      <c r="G7" s="1"/>
    </row>
    <row r="8" spans="1:26" ht="15" customHeight="1" x14ac:dyDescent="0.2">
      <c r="A8" s="2"/>
      <c r="J8" s="2"/>
      <c r="K8" s="2"/>
      <c r="L8" s="2"/>
      <c r="M8" s="2"/>
      <c r="N8" s="1"/>
      <c r="O8" s="2"/>
      <c r="P8" s="2"/>
      <c r="Q8" s="2"/>
      <c r="R8" s="2"/>
      <c r="S8" s="2"/>
      <c r="T8" s="2"/>
      <c r="U8" s="2"/>
      <c r="V8" s="2"/>
      <c r="W8" s="2"/>
      <c r="X8" s="2"/>
      <c r="Y8" s="2"/>
      <c r="Z8" s="2"/>
    </row>
    <row r="9" spans="1:26" x14ac:dyDescent="0.2">
      <c r="B9" s="1" t="s">
        <v>8</v>
      </c>
    </row>
    <row r="10" spans="1:26" ht="48" x14ac:dyDescent="0.2">
      <c r="B10" s="2" t="s">
        <v>2</v>
      </c>
      <c r="C10" s="2" t="s">
        <v>3</v>
      </c>
      <c r="D10" s="2" t="s">
        <v>4</v>
      </c>
      <c r="E10" s="2" t="s">
        <v>5</v>
      </c>
      <c r="F10" s="2" t="s">
        <v>6</v>
      </c>
      <c r="G10" s="3" t="s">
        <v>9</v>
      </c>
    </row>
    <row r="11" spans="1:26" x14ac:dyDescent="0.2">
      <c r="B11" s="4">
        <v>0.02</v>
      </c>
      <c r="C11" s="5">
        <v>0.3</v>
      </c>
      <c r="D11" s="6">
        <f t="shared" ref="D11:E11" si="1">B11*25.4</f>
        <v>0.50800000000000001</v>
      </c>
      <c r="E11" s="6">
        <f t="shared" si="1"/>
        <v>7.6199999999999992</v>
      </c>
      <c r="F11" s="6">
        <f>(E11/2)+(D11*0.756)</f>
        <v>4.1940479999999996</v>
      </c>
      <c r="G11" s="7">
        <f>((-0.013609*(11.2807309644187)^4) + (0.60653*(11.2807309644187)^3) + (-12.281*(11.2807309644187)^2) + (123.67*11.2807309644187) + (463.54)) - ((-0.013609*((11.2807309644187-F11))^4) + (0.60653*((11.2807309644187-F11))^3) + (-12.281*((11.2807309644187-F11))^2) + (123.67*(11.2807309644187-F11)) + (463.54))</f>
        <v>41.394506105901883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L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132" workbookViewId="0">
      <selection activeCell="F73" sqref="F73"/>
    </sheetView>
  </sheetViews>
  <sheetFormatPr baseColWidth="10" defaultColWidth="14.5" defaultRowHeight="15" customHeight="1" x14ac:dyDescent="0.2"/>
  <cols>
    <col min="1" max="2" width="8.6640625" customWidth="1"/>
    <col min="3" max="3" width="9.5" customWidth="1"/>
    <col min="4" max="4" width="11.83203125" customWidth="1"/>
    <col min="5" max="5" width="10.5" customWidth="1"/>
    <col min="6" max="7" width="8.6640625" customWidth="1"/>
    <col min="8" max="8" width="9.5" customWidth="1"/>
    <col min="9" max="9" width="11.83203125" customWidth="1"/>
    <col min="10" max="10" width="10.5" customWidth="1"/>
    <col min="11" max="26" width="8.6640625" customWidth="1"/>
  </cols>
  <sheetData>
    <row r="1" spans="1:26" ht="45" customHeight="1" x14ac:dyDescent="0.2">
      <c r="B1" s="19" t="s">
        <v>10</v>
      </c>
      <c r="C1" s="20"/>
      <c r="D1" s="20"/>
      <c r="E1" s="20"/>
      <c r="F1" s="20"/>
      <c r="G1" s="20"/>
      <c r="H1" s="20"/>
      <c r="I1" s="20"/>
      <c r="J1" s="20"/>
      <c r="K1" s="20"/>
      <c r="L1" s="20"/>
      <c r="M1" s="20"/>
      <c r="N1" s="20"/>
      <c r="O1" s="20"/>
    </row>
    <row r="2" spans="1:26" x14ac:dyDescent="0.2">
      <c r="B2" s="6" t="s">
        <v>11</v>
      </c>
    </row>
    <row r="4" spans="1:26" x14ac:dyDescent="0.2">
      <c r="B4" s="1" t="s">
        <v>12</v>
      </c>
      <c r="G4" s="1" t="s">
        <v>13</v>
      </c>
    </row>
    <row r="6" spans="1:26" ht="30" customHeight="1" x14ac:dyDescent="0.2">
      <c r="A6" s="2"/>
      <c r="B6" s="2" t="s">
        <v>14</v>
      </c>
      <c r="C6" s="2" t="s">
        <v>15</v>
      </c>
      <c r="D6" s="2" t="s">
        <v>16</v>
      </c>
      <c r="E6" s="2" t="s">
        <v>17</v>
      </c>
      <c r="F6" s="2"/>
      <c r="G6" s="2" t="s">
        <v>18</v>
      </c>
      <c r="H6" s="2" t="s">
        <v>15</v>
      </c>
      <c r="I6" s="2" t="s">
        <v>19</v>
      </c>
      <c r="J6" s="2" t="s">
        <v>17</v>
      </c>
      <c r="K6" s="2"/>
      <c r="L6" s="2"/>
      <c r="M6" s="2"/>
      <c r="N6" s="2"/>
      <c r="O6" s="2"/>
      <c r="P6" s="2"/>
      <c r="Q6" s="2"/>
      <c r="R6" s="2"/>
      <c r="S6" s="2"/>
      <c r="T6" s="2"/>
      <c r="U6" s="2"/>
      <c r="V6" s="2"/>
      <c r="W6" s="2"/>
      <c r="X6" s="2"/>
      <c r="Y6" s="2"/>
      <c r="Z6" s="2"/>
    </row>
    <row r="7" spans="1:26" x14ac:dyDescent="0.2">
      <c r="B7" s="6">
        <v>200</v>
      </c>
      <c r="C7" s="8">
        <v>5.8</v>
      </c>
      <c r="D7" s="9">
        <f>5/9*($B$7-32)</f>
        <v>93.333333333333343</v>
      </c>
      <c r="E7" s="10">
        <f>((5/9*($B$7-32))-(5/9*(($B$7+$C$7)-32)))*-1</f>
        <v>3.2222222222222285</v>
      </c>
      <c r="G7" s="6">
        <v>200</v>
      </c>
      <c r="H7" s="6">
        <v>5.8</v>
      </c>
      <c r="I7" s="9">
        <f>5/9*($G$7-32)</f>
        <v>93.333333333333343</v>
      </c>
      <c r="J7" s="10">
        <f>((5/9*($G$7-32))-(5/9*(($G$7+$H$7)-32)))*-1</f>
        <v>3.2222222222222285</v>
      </c>
    </row>
    <row r="8" spans="1:26" x14ac:dyDescent="0.2">
      <c r="B8" s="6">
        <v>400</v>
      </c>
      <c r="C8" s="8">
        <v>5.8</v>
      </c>
      <c r="D8" s="11">
        <v>100</v>
      </c>
      <c r="E8" s="12">
        <v>3.2</v>
      </c>
      <c r="G8" s="6">
        <v>400</v>
      </c>
      <c r="H8" s="6">
        <v>6.2</v>
      </c>
      <c r="I8" s="11">
        <v>100</v>
      </c>
      <c r="J8" s="12">
        <v>3.2</v>
      </c>
    </row>
    <row r="9" spans="1:26" x14ac:dyDescent="0.2">
      <c r="B9" s="6">
        <v>600</v>
      </c>
      <c r="C9" s="8">
        <v>6.2</v>
      </c>
      <c r="D9" s="11">
        <v>200</v>
      </c>
      <c r="E9" s="12">
        <v>3.2</v>
      </c>
      <c r="G9" s="6">
        <v>600</v>
      </c>
      <c r="H9" s="6">
        <v>6.7</v>
      </c>
      <c r="I9" s="11">
        <v>200</v>
      </c>
      <c r="J9" s="12">
        <v>3.4</v>
      </c>
    </row>
    <row r="10" spans="1:26" x14ac:dyDescent="0.2">
      <c r="B10" s="6">
        <v>800</v>
      </c>
      <c r="C10" s="8">
        <v>6.6</v>
      </c>
      <c r="D10" s="13">
        <f>5/9*($B$8-32)</f>
        <v>204.44444444444446</v>
      </c>
      <c r="E10" s="12">
        <f>((5/9*($B$8-32))-(5/9*(($B$8+$C$8)-32)))*-1</f>
        <v>3.2222222222222285</v>
      </c>
      <c r="G10" s="6">
        <v>800</v>
      </c>
      <c r="H10" s="6">
        <v>7.6</v>
      </c>
      <c r="I10" s="13">
        <f>5/9*($G$8-32)</f>
        <v>204.44444444444446</v>
      </c>
      <c r="J10" s="12">
        <f>((5/9*($G$8-32))-(5/9*(($G$8+$H$8)-32)))*-1</f>
        <v>3.4444444444444287</v>
      </c>
    </row>
    <row r="11" spans="1:26" x14ac:dyDescent="0.2">
      <c r="B11" s="6">
        <v>1000</v>
      </c>
      <c r="C11" s="8">
        <v>7.2</v>
      </c>
      <c r="D11" s="11">
        <v>300</v>
      </c>
      <c r="E11" s="12">
        <v>3.4</v>
      </c>
      <c r="G11" s="6">
        <v>1000</v>
      </c>
      <c r="H11" s="6">
        <v>9</v>
      </c>
      <c r="I11" s="11">
        <v>300</v>
      </c>
      <c r="J11" s="12">
        <v>3.7</v>
      </c>
    </row>
    <row r="12" spans="1:26" x14ac:dyDescent="0.2">
      <c r="B12" s="6">
        <v>1200</v>
      </c>
      <c r="C12" s="8">
        <v>8.1999999999999993</v>
      </c>
      <c r="D12" s="13">
        <f>5/9*($B$9-32)</f>
        <v>315.55555555555554</v>
      </c>
      <c r="E12" s="12">
        <f>((5/9*($B$8-32))-(5/9*(($B$8+$C$8)-32)))*-1</f>
        <v>3.2222222222222285</v>
      </c>
      <c r="G12" s="6">
        <v>1200</v>
      </c>
      <c r="H12" s="6">
        <v>10.4</v>
      </c>
      <c r="I12" s="13">
        <f>5/9*($G$9-32)</f>
        <v>315.55555555555554</v>
      </c>
      <c r="J12" s="12">
        <f>((5/9*($G$9-32))-(5/9*(($G$9+$H$9)-32)))*-1</f>
        <v>3.7222222222222854</v>
      </c>
    </row>
    <row r="13" spans="1:26" x14ac:dyDescent="0.2">
      <c r="B13" s="6">
        <v>1400</v>
      </c>
      <c r="C13" s="8">
        <v>8.8000000000000007</v>
      </c>
      <c r="D13" s="11">
        <v>400</v>
      </c>
      <c r="E13" s="12">
        <v>3.6</v>
      </c>
      <c r="G13" s="6">
        <v>1400</v>
      </c>
      <c r="H13" s="6">
        <v>11.5</v>
      </c>
      <c r="I13" s="11">
        <v>400</v>
      </c>
      <c r="J13" s="12">
        <v>4.0999999999999996</v>
      </c>
    </row>
    <row r="14" spans="1:26" x14ac:dyDescent="0.2">
      <c r="B14" s="6">
        <v>1600</v>
      </c>
      <c r="C14" s="8">
        <v>9.5</v>
      </c>
      <c r="D14" s="13">
        <f>5/9*($B$10-32)</f>
        <v>426.66666666666669</v>
      </c>
      <c r="E14" s="12">
        <f>((5/9*($B$10-32))-(5/9*(($B$10+$C$10)-32)))*-1</f>
        <v>3.6666666666666856</v>
      </c>
      <c r="G14" s="6">
        <v>1600</v>
      </c>
      <c r="H14" s="6">
        <v>13</v>
      </c>
      <c r="I14" s="13">
        <f>5/9*($G$10-32)</f>
        <v>426.66666666666669</v>
      </c>
      <c r="J14" s="12">
        <f>((5/9*($G$10-32))-(5/9*(($G$10+$H$10)-32)))*-1</f>
        <v>4.2222222222222285</v>
      </c>
    </row>
    <row r="15" spans="1:26" x14ac:dyDescent="0.2">
      <c r="B15" s="6">
        <v>1800</v>
      </c>
      <c r="C15" s="8">
        <v>10.1</v>
      </c>
      <c r="D15" s="11">
        <v>500</v>
      </c>
      <c r="E15" s="12">
        <v>3.9</v>
      </c>
      <c r="G15" s="6">
        <v>1800</v>
      </c>
      <c r="H15" s="6">
        <v>14.2</v>
      </c>
      <c r="I15" s="11">
        <v>500</v>
      </c>
      <c r="J15" s="12">
        <v>4.7</v>
      </c>
    </row>
    <row r="16" spans="1:26" x14ac:dyDescent="0.2">
      <c r="B16" s="6">
        <v>2000</v>
      </c>
      <c r="C16" s="8">
        <v>10.5</v>
      </c>
      <c r="D16" s="13">
        <f>5/9*($B$11-32)</f>
        <v>537.77777777777783</v>
      </c>
      <c r="E16" s="12">
        <f>((5/9*($B$11-32))-(5/9*(($B$11+$C$11)-32)))*-1</f>
        <v>4</v>
      </c>
      <c r="G16" s="6">
        <v>2000</v>
      </c>
      <c r="H16" s="6">
        <v>15</v>
      </c>
      <c r="I16" s="13">
        <f>5/9*($G$11-32)</f>
        <v>537.77777777777783</v>
      </c>
      <c r="J16" s="12">
        <f>((5/9*($G$11-32))-(5/9*(($G$11+$H$11)-32)))*-1</f>
        <v>5</v>
      </c>
    </row>
    <row r="17" spans="2:10" x14ac:dyDescent="0.2">
      <c r="B17" s="6">
        <v>2200</v>
      </c>
      <c r="C17" s="8">
        <v>10.3</v>
      </c>
      <c r="D17" s="11">
        <v>600</v>
      </c>
      <c r="E17" s="12">
        <v>4.3</v>
      </c>
      <c r="G17" s="6">
        <v>2200</v>
      </c>
      <c r="H17" s="6">
        <v>15.8</v>
      </c>
      <c r="I17" s="11">
        <v>600</v>
      </c>
      <c r="J17" s="12">
        <v>5.4</v>
      </c>
    </row>
    <row r="18" spans="2:10" x14ac:dyDescent="0.2">
      <c r="B18" s="6">
        <v>2400</v>
      </c>
      <c r="C18" s="8">
        <v>10.4</v>
      </c>
      <c r="D18" s="13">
        <f>5/9*($B$12-32)</f>
        <v>648.88888888888891</v>
      </c>
      <c r="E18" s="12">
        <f>((5/9*($B$12-32))-(5/9*(($B$12+$C$12)-32)))*-1</f>
        <v>4.5555555555555429</v>
      </c>
      <c r="G18" s="6">
        <v>2400</v>
      </c>
      <c r="H18" s="6">
        <v>16.3</v>
      </c>
      <c r="I18" s="13">
        <f>5/9*($G$12-32)</f>
        <v>648.88888888888891</v>
      </c>
      <c r="J18" s="12">
        <f>((5/9*($G$12-32))-(5/9*(($G$12+$H$12)-32)))*-1</f>
        <v>5.7777777777778283</v>
      </c>
    </row>
    <row r="19" spans="2:10" x14ac:dyDescent="0.2">
      <c r="B19" s="6">
        <v>2600</v>
      </c>
      <c r="C19" s="8">
        <v>9</v>
      </c>
      <c r="D19" s="11">
        <v>700</v>
      </c>
      <c r="E19" s="12">
        <v>4.7</v>
      </c>
      <c r="G19" s="6">
        <v>2600</v>
      </c>
      <c r="H19" s="6">
        <v>16.3</v>
      </c>
      <c r="I19" s="11">
        <v>700</v>
      </c>
      <c r="J19" s="12">
        <v>6.1</v>
      </c>
    </row>
    <row r="20" spans="2:10" x14ac:dyDescent="0.2">
      <c r="B20" s="6">
        <v>2800</v>
      </c>
      <c r="C20" s="8">
        <v>8.4</v>
      </c>
      <c r="D20" s="13">
        <f>5/9*($B$13-32)</f>
        <v>760</v>
      </c>
      <c r="E20" s="12">
        <f>((5/9*($B$13-32))-(5/9*(($B$13+$C$13)-32)))*-1</f>
        <v>4.8888888888889142</v>
      </c>
      <c r="G20" s="6">
        <v>2800</v>
      </c>
      <c r="H20" s="6">
        <v>17.100000000000001</v>
      </c>
      <c r="I20" s="13">
        <f>5/9*($G$13-32)</f>
        <v>760</v>
      </c>
      <c r="J20" s="12">
        <f>((5/9*($G$13-32))-(5/9*(($G$13+$H$13)-32)))*-1</f>
        <v>6.3888888888889142</v>
      </c>
    </row>
    <row r="21" spans="2:10" ht="15.75" customHeight="1" x14ac:dyDescent="0.2">
      <c r="B21" s="6">
        <v>3000</v>
      </c>
      <c r="C21" s="8">
        <v>8.6999999999999993</v>
      </c>
      <c r="D21" s="11">
        <v>800</v>
      </c>
      <c r="E21" s="12">
        <v>5</v>
      </c>
      <c r="G21" s="6">
        <v>3000</v>
      </c>
      <c r="H21" s="6">
        <v>18.399999999999999</v>
      </c>
      <c r="I21" s="11">
        <v>800</v>
      </c>
      <c r="J21" s="12">
        <v>6.7</v>
      </c>
    </row>
    <row r="22" spans="2:10" ht="15.75" customHeight="1" x14ac:dyDescent="0.2">
      <c r="B22" s="6">
        <v>3200</v>
      </c>
      <c r="C22" s="8">
        <v>11.2</v>
      </c>
      <c r="D22" s="13">
        <f>5/9*($B$14-32)</f>
        <v>871.1111111111112</v>
      </c>
      <c r="E22" s="12">
        <f>((5/9*($B$14-32))-(5/9*(($B$14+$C$14)-32)))*-1</f>
        <v>5.2777777777777146</v>
      </c>
      <c r="G22" s="6">
        <v>3200</v>
      </c>
      <c r="H22" s="6">
        <v>21.9</v>
      </c>
      <c r="I22" s="13">
        <f>5/9*($G$14-32)</f>
        <v>871.1111111111112</v>
      </c>
      <c r="J22" s="12">
        <f>((5/9*($G$14-32))-(5/9*(($G$14+$H$14)-32)))*-1</f>
        <v>7.2222222222221717</v>
      </c>
    </row>
    <row r="23" spans="2:10" ht="15.75" customHeight="1" x14ac:dyDescent="0.2">
      <c r="B23" s="6">
        <v>3400</v>
      </c>
      <c r="C23" s="8">
        <v>15.7</v>
      </c>
      <c r="D23" s="11">
        <v>900</v>
      </c>
      <c r="E23" s="12">
        <v>5.4</v>
      </c>
      <c r="G23" s="6">
        <v>3400</v>
      </c>
      <c r="H23" s="6">
        <v>27.8</v>
      </c>
      <c r="I23" s="11">
        <v>900</v>
      </c>
      <c r="J23" s="12">
        <v>7.4</v>
      </c>
    </row>
    <row r="24" spans="2:10" ht="15.75" customHeight="1" x14ac:dyDescent="0.2">
      <c r="B24" s="6">
        <v>3600</v>
      </c>
      <c r="C24" s="8">
        <v>18.399999999999999</v>
      </c>
      <c r="D24" s="13">
        <f>5/9*($B$15-32)</f>
        <v>982.22222222222229</v>
      </c>
      <c r="E24" s="12">
        <f>((5/9*($B$15-32))-(5/9*(($B$15+$C$15)-32)))*-1</f>
        <v>5.6111111111110858</v>
      </c>
      <c r="G24" s="6">
        <v>3600</v>
      </c>
      <c r="H24" s="6">
        <v>32.1</v>
      </c>
      <c r="I24" s="13">
        <f>5/9*($G$15-32)</f>
        <v>982.22222222222229</v>
      </c>
      <c r="J24" s="12">
        <f>((5/9*($G$15-32))-(5/9*(($G$15+$H$15)-32)))*-1</f>
        <v>7.8888888888889142</v>
      </c>
    </row>
    <row r="25" spans="2:10" ht="15.75" customHeight="1" x14ac:dyDescent="0.2">
      <c r="B25" s="6">
        <v>3800</v>
      </c>
      <c r="C25" s="8">
        <v>18.2</v>
      </c>
      <c r="D25" s="11">
        <v>1000</v>
      </c>
      <c r="E25" s="12">
        <v>5.7</v>
      </c>
      <c r="G25" s="6">
        <v>3800</v>
      </c>
      <c r="H25" s="6">
        <v>33.9</v>
      </c>
      <c r="I25" s="11">
        <v>1000</v>
      </c>
      <c r="J25" s="12">
        <v>7.9</v>
      </c>
    </row>
    <row r="26" spans="2:10" ht="15.75" customHeight="1" x14ac:dyDescent="0.2">
      <c r="B26" s="6">
        <v>4000</v>
      </c>
      <c r="C26" s="8">
        <v>13.8</v>
      </c>
      <c r="D26" s="13">
        <f>5/9*($B$16-32)</f>
        <v>1093.3333333333335</v>
      </c>
      <c r="E26" s="12">
        <f>((5/9*($B$16-32))-(5/9*(($B$16+$C$16)-32)))*-1</f>
        <v>5.8333333333332575</v>
      </c>
      <c r="G26" s="6">
        <v>4000</v>
      </c>
      <c r="H26" s="6">
        <v>32.4</v>
      </c>
      <c r="I26" s="13">
        <f>5/9*($G$16-32)</f>
        <v>1093.3333333333335</v>
      </c>
      <c r="J26" s="12">
        <f>((5/9*($G$16-32))-(5/9*(($G$16+$H$16)-32)))*-1</f>
        <v>8.3333333333332575</v>
      </c>
    </row>
    <row r="27" spans="2:10" ht="15.75" customHeight="1" x14ac:dyDescent="0.2">
      <c r="B27" s="6">
        <v>4200</v>
      </c>
      <c r="C27" s="8">
        <v>9.6</v>
      </c>
      <c r="D27" s="11">
        <v>1100</v>
      </c>
      <c r="E27" s="12">
        <v>5.8</v>
      </c>
      <c r="G27" s="6">
        <v>4200</v>
      </c>
      <c r="H27" s="6">
        <v>33.299999999999997</v>
      </c>
      <c r="I27" s="11">
        <v>1100</v>
      </c>
      <c r="J27" s="12">
        <v>8.4</v>
      </c>
    </row>
    <row r="28" spans="2:10" ht="15.75" customHeight="1" x14ac:dyDescent="0.2">
      <c r="D28" s="11">
        <v>1200</v>
      </c>
      <c r="E28" s="12">
        <v>5.7</v>
      </c>
      <c r="I28" s="11">
        <v>1200</v>
      </c>
      <c r="J28" s="12">
        <v>8.8000000000000007</v>
      </c>
    </row>
    <row r="29" spans="2:10" ht="15.75" customHeight="1" x14ac:dyDescent="0.2">
      <c r="D29" s="13">
        <f>5/9*($B$17-32)</f>
        <v>1204.4444444444446</v>
      </c>
      <c r="E29" s="12">
        <f>((5/9*($B$17-32))-(5/9*(($B$17+$C$17)-32)))*-1</f>
        <v>5.7222222222221717</v>
      </c>
      <c r="I29" s="13">
        <f>5/9*($G$17-32)</f>
        <v>1204.4444444444446</v>
      </c>
      <c r="J29" s="12">
        <f>((5/9*($G$17-32))-(5/9*(($G$17+$H$17)-32)))*-1</f>
        <v>8.7777777777778283</v>
      </c>
    </row>
    <row r="30" spans="2:10" ht="15.75" customHeight="1" x14ac:dyDescent="0.2">
      <c r="D30" s="11">
        <v>1300</v>
      </c>
      <c r="E30" s="12">
        <v>5.7</v>
      </c>
      <c r="I30" s="11">
        <v>1300</v>
      </c>
      <c r="J30" s="12">
        <v>9</v>
      </c>
    </row>
    <row r="31" spans="2:10" ht="15.75" customHeight="1" x14ac:dyDescent="0.2">
      <c r="D31" s="13">
        <f>5/9*($B$18-32)</f>
        <v>1315.5555555555557</v>
      </c>
      <c r="E31" s="12">
        <f>((5/9*($B$18-32))-(5/9*(($B$18+$C$18)-32)))*-1</f>
        <v>5.7777777777778283</v>
      </c>
      <c r="I31" s="13">
        <f>5/9*($G$18-32)</f>
        <v>1315.5555555555557</v>
      </c>
      <c r="J31" s="12">
        <f>((5/9*($G$18-32))-(5/9*(($G$18+$H$18)-32)))*-1</f>
        <v>9.0555555555556566</v>
      </c>
    </row>
    <row r="32" spans="2:10" ht="15.75" customHeight="1" x14ac:dyDescent="0.2">
      <c r="D32" s="11">
        <v>1400</v>
      </c>
      <c r="E32" s="12">
        <v>5.2</v>
      </c>
      <c r="I32" s="11">
        <v>1400</v>
      </c>
      <c r="J32" s="12">
        <v>9</v>
      </c>
    </row>
    <row r="33" spans="4:10" ht="15.75" customHeight="1" x14ac:dyDescent="0.2">
      <c r="D33" s="13">
        <f>5/9*($B$19-32)</f>
        <v>1426.6666666666667</v>
      </c>
      <c r="E33" s="12">
        <f>((5/9*($B$19-32))-(5/9*(($B$19+$C$19)-32)))*-1</f>
        <v>5</v>
      </c>
      <c r="I33" s="13">
        <f>5/9*($G$19-32)</f>
        <v>1426.6666666666667</v>
      </c>
      <c r="J33" s="12">
        <f>((5/9*($G$19-32))-(5/9*(($G$19+$H$19)-32)))*-1</f>
        <v>9.0555555555556566</v>
      </c>
    </row>
    <row r="34" spans="4:10" ht="15.75" customHeight="1" x14ac:dyDescent="0.2">
      <c r="D34" s="11">
        <v>1500</v>
      </c>
      <c r="E34" s="12">
        <v>4.8</v>
      </c>
      <c r="I34" s="11">
        <v>1500</v>
      </c>
      <c r="J34" s="12">
        <v>9.3000000000000007</v>
      </c>
    </row>
    <row r="35" spans="4:10" ht="15.75" customHeight="1" x14ac:dyDescent="0.2">
      <c r="D35" s="13">
        <f>5/9*($B$20-32)</f>
        <v>1537.7777777777778</v>
      </c>
      <c r="E35" s="12">
        <f>((5/9*($B$20-32))-(5/9*(($B$20+$C$20)-32)))*-1</f>
        <v>4.6666666666667425</v>
      </c>
      <c r="I35" s="13">
        <f>5/9*($G$20-32)</f>
        <v>1537.7777777777778</v>
      </c>
      <c r="J35" s="12">
        <f>((5/9*($G$20-32))-(5/9*(($G$20+$H$20)-32)))*-1</f>
        <v>9.5</v>
      </c>
    </row>
    <row r="36" spans="4:10" ht="15.75" customHeight="1" x14ac:dyDescent="0.2">
      <c r="D36" s="11">
        <v>1600</v>
      </c>
      <c r="E36" s="12">
        <v>4.7</v>
      </c>
      <c r="I36" s="11">
        <v>1600</v>
      </c>
      <c r="J36" s="12">
        <v>9.9</v>
      </c>
    </row>
    <row r="37" spans="4:10" ht="15.75" customHeight="1" x14ac:dyDescent="0.2">
      <c r="D37" s="13">
        <f>5/9*($B$21-32)</f>
        <v>1648.8888888888889</v>
      </c>
      <c r="E37" s="12">
        <f>((5/9*($B$21-32))-(5/9*(($B$21+$C$21)-32)))*-1</f>
        <v>4.8333333333332575</v>
      </c>
      <c r="I37" s="13">
        <f>5/9*($G$21-32)</f>
        <v>1648.8888888888889</v>
      </c>
      <c r="J37" s="12">
        <f>((5/9*($G$21-32))-(5/9*(($G$21+$H$21)-32)))*-1</f>
        <v>10.222222222222399</v>
      </c>
    </row>
    <row r="38" spans="4:10" ht="15.75" customHeight="1" x14ac:dyDescent="0.2">
      <c r="D38" s="11">
        <v>1700</v>
      </c>
      <c r="E38" s="12">
        <v>5.4</v>
      </c>
      <c r="I38" s="11">
        <v>1700</v>
      </c>
      <c r="J38" s="12">
        <v>11.1</v>
      </c>
    </row>
    <row r="39" spans="4:10" ht="15.75" customHeight="1" x14ac:dyDescent="0.2">
      <c r="D39" s="13">
        <f>5/9*($B$22-32)</f>
        <v>1760</v>
      </c>
      <c r="E39" s="12">
        <f>((5/9*($B$22-32))-(5/9*(($B$22+$C$22)-32)))*-1</f>
        <v>6.2222222222221717</v>
      </c>
      <c r="I39" s="13">
        <f>5/9*($G$22-32)</f>
        <v>1760</v>
      </c>
      <c r="J39" s="12">
        <f>((5/9*($G$22-32))-(5/9*(($G$22+$H$22)-32)))*-1</f>
        <v>12.166666666666742</v>
      </c>
    </row>
    <row r="40" spans="4:10" ht="15.75" customHeight="1" x14ac:dyDescent="0.2">
      <c r="D40" s="11">
        <v>1800</v>
      </c>
      <c r="E40" s="12">
        <v>7.1</v>
      </c>
      <c r="I40" s="11">
        <v>1800</v>
      </c>
      <c r="J40" s="12">
        <v>13.3</v>
      </c>
    </row>
    <row r="41" spans="4:10" ht="15.75" customHeight="1" x14ac:dyDescent="0.2">
      <c r="D41" s="13">
        <f>5/9*($B$23-32)</f>
        <v>1871.1111111111111</v>
      </c>
      <c r="E41" s="12">
        <f>((5/9*($B$23-32))-(5/9*(($B$23+$C$23)-32)))*-1</f>
        <v>8.7222222222221717</v>
      </c>
      <c r="I41" s="13">
        <f>5/9*($G$23-32)</f>
        <v>1871.1111111111111</v>
      </c>
      <c r="J41" s="12">
        <f>((5/9*($G$23-32))-(5/9*(($G$23+$H$23)-32)))*-1</f>
        <v>15.444444444444571</v>
      </c>
    </row>
    <row r="42" spans="4:10" ht="15.75" customHeight="1" x14ac:dyDescent="0.2">
      <c r="D42" s="11">
        <v>1900</v>
      </c>
      <c r="E42" s="12">
        <v>9.1</v>
      </c>
      <c r="I42" s="11">
        <v>1900</v>
      </c>
      <c r="J42" s="12">
        <v>16</v>
      </c>
    </row>
    <row r="43" spans="4:10" ht="15.75" customHeight="1" x14ac:dyDescent="0.2">
      <c r="D43" s="13">
        <f>5/9*($B$24-32)</f>
        <v>1982.2222222222224</v>
      </c>
      <c r="E43" s="12">
        <f>((5/9*($B$24-32))-(5/9*(($B$24+$C$24)-32)))*-1</f>
        <v>10.222222222222172</v>
      </c>
      <c r="I43" s="13">
        <f>5/9*($G$24-32)</f>
        <v>1982.2222222222224</v>
      </c>
      <c r="J43" s="12">
        <f>((5/9*($G$24-32))-(5/9*(($G$24+$H$24)-32)))*-1</f>
        <v>17.833333333333258</v>
      </c>
    </row>
    <row r="44" spans="4:10" ht="15.75" customHeight="1" x14ac:dyDescent="0.2">
      <c r="D44" s="11">
        <v>2000</v>
      </c>
      <c r="E44" s="12">
        <v>10.199999999999999</v>
      </c>
      <c r="I44" s="11">
        <v>2000</v>
      </c>
      <c r="J44" s="12">
        <v>18</v>
      </c>
    </row>
    <row r="45" spans="4:10" ht="15.75" customHeight="1" x14ac:dyDescent="0.2">
      <c r="D45" s="13">
        <f>5/9*($B$25-32)</f>
        <v>2093.3333333333335</v>
      </c>
      <c r="E45" s="12">
        <f>((5/9*($B$25-32))-(5/9*(($B$25+$C$25)-32)))*-1</f>
        <v>10.111111111110858</v>
      </c>
      <c r="I45" s="13">
        <f>5/9*($G$25-32)</f>
        <v>2093.3333333333335</v>
      </c>
      <c r="J45" s="12">
        <f>((5/9*($G$25-32))-(5/9*(($G$25+$H$25)-32)))*-1</f>
        <v>18.833333333333485</v>
      </c>
    </row>
    <row r="46" spans="4:10" ht="15.75" customHeight="1" x14ac:dyDescent="0.2">
      <c r="D46" s="11">
        <v>2100</v>
      </c>
      <c r="E46" s="12">
        <v>10</v>
      </c>
      <c r="I46" s="11">
        <v>2100</v>
      </c>
      <c r="J46" s="12">
        <v>18.8</v>
      </c>
    </row>
    <row r="47" spans="4:10" ht="15.75" customHeight="1" x14ac:dyDescent="0.2">
      <c r="D47" s="11">
        <v>2200</v>
      </c>
      <c r="E47" s="12">
        <v>7.8</v>
      </c>
      <c r="I47" s="11">
        <v>2200</v>
      </c>
      <c r="J47" s="12">
        <v>18</v>
      </c>
    </row>
    <row r="48" spans="4:10" ht="15.75" customHeight="1" x14ac:dyDescent="0.2">
      <c r="D48" s="13">
        <f>5/9*($B$26-32)</f>
        <v>2204.4444444444443</v>
      </c>
      <c r="E48" s="12">
        <f>((5/9*($B$26-32))-(5/9*(($B$26+$C$26)-32)))*-1</f>
        <v>7.6666666666669698</v>
      </c>
      <c r="I48" s="13">
        <f>5/9*($G$26-32)</f>
        <v>2204.4444444444443</v>
      </c>
      <c r="J48" s="12">
        <f>((5/9*($G$26-32))-(5/9*(($G$26+$H$26)-32)))*-1</f>
        <v>18.000000000000455</v>
      </c>
    </row>
    <row r="49" spans="4:10" ht="15.75" customHeight="1" x14ac:dyDescent="0.2">
      <c r="D49" s="11">
        <v>2300</v>
      </c>
      <c r="E49" s="12">
        <v>5.7</v>
      </c>
      <c r="I49" s="11">
        <v>2300</v>
      </c>
      <c r="J49" s="12">
        <v>18.399999999999999</v>
      </c>
    </row>
    <row r="50" spans="4:10" ht="15.75" customHeight="1" x14ac:dyDescent="0.2">
      <c r="D50" s="14">
        <f>5/9*($B$27-32)</f>
        <v>2315.5555555555557</v>
      </c>
      <c r="E50" s="15">
        <f>((5/9*($B$27-32))-(5/9*(($B$27+$C$27)-32)))*-1</f>
        <v>5.3333333333334849</v>
      </c>
      <c r="I50" s="14">
        <f>5/9*($G$27-32)</f>
        <v>2315.5555555555557</v>
      </c>
      <c r="J50" s="15">
        <f>((5/9*($G$27-32))-(5/9*(($G$27+$H$27)-32)))*-1</f>
        <v>18.5</v>
      </c>
    </row>
    <row r="51" spans="4:10" ht="15.75" customHeight="1" x14ac:dyDescent="0.2"/>
    <row r="52" spans="4:10" ht="15.75" customHeight="1" x14ac:dyDescent="0.2"/>
    <row r="53" spans="4:10" ht="15.75" customHeight="1" x14ac:dyDescent="0.2"/>
    <row r="54" spans="4:10" ht="15.75" customHeight="1" x14ac:dyDescent="0.2"/>
    <row r="55" spans="4:10" ht="15.75" customHeight="1" x14ac:dyDescent="0.2"/>
    <row r="56" spans="4:10" ht="15.75" customHeight="1" x14ac:dyDescent="0.2"/>
    <row r="57" spans="4:10" ht="15.75" customHeight="1" x14ac:dyDescent="0.2"/>
    <row r="58" spans="4:10" ht="15.75" customHeight="1" x14ac:dyDescent="0.2"/>
    <row r="59" spans="4:10" ht="15.75" customHeight="1" x14ac:dyDescent="0.2"/>
    <row r="60" spans="4:10" ht="15.75" customHeight="1" x14ac:dyDescent="0.2"/>
    <row r="61" spans="4:10" ht="15.75" customHeight="1" x14ac:dyDescent="0.2"/>
    <row r="62" spans="4:10" ht="15.75" customHeight="1" x14ac:dyDescent="0.2"/>
    <row r="63" spans="4:10" ht="15.75" customHeight="1" x14ac:dyDescent="0.2"/>
    <row r="64" spans="4: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O1"/>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H16" sqref="H16"/>
    </sheetView>
  </sheetViews>
  <sheetFormatPr baseColWidth="10" defaultColWidth="14.5" defaultRowHeight="15" customHeight="1" x14ac:dyDescent="0.2"/>
  <cols>
    <col min="1" max="1" width="8.6640625" customWidth="1"/>
    <col min="2" max="2" width="12.1640625" customWidth="1"/>
    <col min="3" max="3" width="12.5" customWidth="1"/>
    <col min="4" max="26" width="8.6640625" customWidth="1"/>
  </cols>
  <sheetData>
    <row r="1" spans="1:8" x14ac:dyDescent="0.2">
      <c r="A1" s="6" t="s">
        <v>20</v>
      </c>
    </row>
    <row r="3" spans="1:8" ht="45" customHeight="1" x14ac:dyDescent="0.2">
      <c r="B3" s="2" t="s">
        <v>21</v>
      </c>
      <c r="C3" s="16" t="s">
        <v>22</v>
      </c>
    </row>
    <row r="4" spans="1:8" ht="16" x14ac:dyDescent="0.2">
      <c r="B4" s="17">
        <v>5.6096000000000004</v>
      </c>
      <c r="C4" s="17">
        <v>874.82034444026579</v>
      </c>
    </row>
    <row r="5" spans="1:8" ht="16" x14ac:dyDescent="0.2">
      <c r="B5" s="17">
        <v>5.8596000000000004</v>
      </c>
      <c r="C5" s="17">
        <v>867.2173526398816</v>
      </c>
    </row>
    <row r="6" spans="1:8" ht="16" x14ac:dyDescent="0.2">
      <c r="B6" s="17">
        <v>6.1096000000000004</v>
      </c>
      <c r="C6" s="17">
        <v>879.71211232004737</v>
      </c>
    </row>
    <row r="7" spans="1:8" ht="16" x14ac:dyDescent="0.2">
      <c r="B7" s="17">
        <v>6.3596000000000004</v>
      </c>
      <c r="C7" s="17">
        <v>881.56246869617814</v>
      </c>
    </row>
    <row r="8" spans="1:8" ht="16" x14ac:dyDescent="0.2">
      <c r="B8" s="17">
        <v>6.6096000000000004</v>
      </c>
      <c r="C8" s="17">
        <v>902.88612490626804</v>
      </c>
    </row>
    <row r="9" spans="1:8" ht="16" x14ac:dyDescent="0.2">
      <c r="B9" s="17">
        <v>6.8596000000000004</v>
      </c>
      <c r="C9" s="17">
        <v>910.17967109838139</v>
      </c>
    </row>
    <row r="10" spans="1:8" ht="16" x14ac:dyDescent="0.2">
      <c r="B10" s="17">
        <v>7.1096000000000004</v>
      </c>
      <c r="C10" s="17">
        <v>909.02099569083805</v>
      </c>
    </row>
    <row r="11" spans="1:8" ht="16" x14ac:dyDescent="0.2">
      <c r="B11" s="17">
        <v>7.3596000000000004</v>
      </c>
      <c r="C11" s="17">
        <v>910.17967109838139</v>
      </c>
    </row>
    <row r="12" spans="1:8" ht="16" x14ac:dyDescent="0.2">
      <c r="B12" s="17">
        <v>7.6096000000000004</v>
      </c>
      <c r="C12" s="17">
        <v>916.20129999556855</v>
      </c>
    </row>
    <row r="13" spans="1:8" ht="16" x14ac:dyDescent="0.2">
      <c r="B13" s="17">
        <v>7.8596000000000004</v>
      </c>
      <c r="C13" s="17">
        <v>922.65904946350008</v>
      </c>
    </row>
    <row r="14" spans="1:8" ht="16" x14ac:dyDescent="0.2">
      <c r="B14" s="17">
        <v>8.1096000000000004</v>
      </c>
      <c r="C14" s="17">
        <v>928.9633090719409</v>
      </c>
    </row>
    <row r="15" spans="1:8" ht="16" x14ac:dyDescent="0.2">
      <c r="B15" s="17">
        <v>8.3596000000000004</v>
      </c>
      <c r="C15" s="17">
        <v>920.73983329858527</v>
      </c>
    </row>
    <row r="16" spans="1:8" ht="19" x14ac:dyDescent="0.2">
      <c r="B16" s="17">
        <v>8.6096000000000004</v>
      </c>
      <c r="C16" s="17">
        <v>928.09903754942741</v>
      </c>
      <c r="H16" s="17" t="s">
        <v>28</v>
      </c>
    </row>
    <row r="17" spans="2:9" ht="16" x14ac:dyDescent="0.2">
      <c r="B17" s="17">
        <v>8.8596000000000004</v>
      </c>
      <c r="C17" s="17">
        <v>931.49001070168731</v>
      </c>
      <c r="H17" s="6" t="s">
        <v>23</v>
      </c>
    </row>
    <row r="18" spans="2:9" ht="16" x14ac:dyDescent="0.2">
      <c r="B18" s="17">
        <v>9.6096000000000004</v>
      </c>
      <c r="C18" s="17">
        <v>937.41421417452818</v>
      </c>
      <c r="H18" s="17" t="s">
        <v>24</v>
      </c>
      <c r="I18" s="17" t="s">
        <v>25</v>
      </c>
    </row>
    <row r="19" spans="2:9" ht="16" x14ac:dyDescent="0.2">
      <c r="B19" s="17">
        <v>9.7096</v>
      </c>
      <c r="C19" s="17">
        <v>937.79100536889894</v>
      </c>
      <c r="H19" s="17">
        <v>11.7692285645831</v>
      </c>
      <c r="I19" s="17">
        <f>(0.037129*(H19^3))-(2.9693*(H19^2))+(54.464*H19)+654.14</f>
        <v>944.37557229540926</v>
      </c>
    </row>
    <row r="20" spans="2:9" ht="16" x14ac:dyDescent="0.2">
      <c r="B20" s="17">
        <v>9.8095999999999997</v>
      </c>
      <c r="C20" s="17">
        <v>933.92354425461747</v>
      </c>
    </row>
    <row r="21" spans="2:9" ht="15.75" customHeight="1" x14ac:dyDescent="0.2">
      <c r="B21" s="17">
        <v>9.9095999999999993</v>
      </c>
      <c r="C21" s="17">
        <v>932.31117862300823</v>
      </c>
    </row>
    <row r="22" spans="2:9" ht="15.75" customHeight="1" x14ac:dyDescent="0.2">
      <c r="B22" s="17">
        <v>10.009599999999999</v>
      </c>
      <c r="C22" s="17">
        <v>933.12227045932252</v>
      </c>
    </row>
    <row r="23" spans="2:9" ht="15.75" customHeight="1" x14ac:dyDescent="0.2">
      <c r="B23" s="17">
        <v>10.109599999999999</v>
      </c>
      <c r="C23" s="17">
        <v>951.96775365503538</v>
      </c>
    </row>
    <row r="24" spans="2:9" ht="15.75" customHeight="1" x14ac:dyDescent="0.2">
      <c r="B24" s="17">
        <v>10.209599999999998</v>
      </c>
      <c r="C24" s="17">
        <v>939.2772639112269</v>
      </c>
    </row>
    <row r="25" spans="2:9" ht="15.75" customHeight="1" x14ac:dyDescent="0.2">
      <c r="B25" s="17">
        <v>10.309599999999998</v>
      </c>
      <c r="C25" s="17">
        <v>936.27089162698337</v>
      </c>
    </row>
    <row r="26" spans="2:9" ht="15.75" customHeight="1" x14ac:dyDescent="0.2">
      <c r="B26" s="17">
        <v>10.409599999999998</v>
      </c>
      <c r="C26" s="17">
        <v>934.71524810433914</v>
      </c>
    </row>
    <row r="27" spans="2:9" ht="15.75" customHeight="1" x14ac:dyDescent="0.2">
      <c r="B27" s="17">
        <v>10.509599999999997</v>
      </c>
      <c r="C27" s="17">
        <v>938.53826660252037</v>
      </c>
    </row>
    <row r="28" spans="2:9" ht="15.75" customHeight="1" x14ac:dyDescent="0.2">
      <c r="B28" s="17">
        <v>10.609599999999997</v>
      </c>
      <c r="C28" s="17">
        <v>944.91334350616501</v>
      </c>
    </row>
    <row r="29" spans="2:9" ht="15.75" customHeight="1" x14ac:dyDescent="0.2">
      <c r="B29" s="17">
        <v>10.709599999999996</v>
      </c>
      <c r="C29" s="17">
        <v>935.49762066424466</v>
      </c>
    </row>
    <row r="30" spans="2:9" ht="15.75" customHeight="1" x14ac:dyDescent="0.2">
      <c r="B30" s="17">
        <v>10.809599999999996</v>
      </c>
      <c r="C30" s="17">
        <v>934.71524810433914</v>
      </c>
    </row>
    <row r="31" spans="2:9" ht="15.75" customHeight="1" x14ac:dyDescent="0.2">
      <c r="B31" s="17">
        <v>10.909599999999996</v>
      </c>
      <c r="C31" s="17">
        <v>940.00818835045595</v>
      </c>
    </row>
    <row r="32" spans="2:9" ht="15.75" customHeight="1" x14ac:dyDescent="0.2">
      <c r="B32" s="17">
        <v>11.009599999999995</v>
      </c>
      <c r="C32" s="17">
        <v>939.2772639112269</v>
      </c>
    </row>
    <row r="33" spans="2:3" ht="15.75" customHeight="1" x14ac:dyDescent="0.2">
      <c r="B33" s="17">
        <v>11.109599999999995</v>
      </c>
      <c r="C33" s="17">
        <v>939.2772639112269</v>
      </c>
    </row>
    <row r="34" spans="2:3" ht="15.75" customHeight="1" x14ac:dyDescent="0.2">
      <c r="B34" s="17">
        <v>11.209599999999995</v>
      </c>
      <c r="C34" s="17">
        <v>946.25168594546324</v>
      </c>
    </row>
    <row r="35" spans="2:3" ht="15.75" customHeight="1" x14ac:dyDescent="0.2">
      <c r="B35" s="17">
        <v>11.309599999999994</v>
      </c>
      <c r="C35" s="17">
        <v>945.58582445316404</v>
      </c>
    </row>
    <row r="36" spans="2:3" ht="15.75" customHeight="1" x14ac:dyDescent="0.2">
      <c r="B36" s="17">
        <v>11.409599999999994</v>
      </c>
      <c r="C36" s="17">
        <v>942.85475181605614</v>
      </c>
    </row>
    <row r="37" spans="2:3" ht="15.75" customHeight="1" x14ac:dyDescent="0.2">
      <c r="B37" s="17">
        <v>11.509599999999994</v>
      </c>
      <c r="C37" s="17">
        <v>939.2772639112269</v>
      </c>
    </row>
    <row r="38" spans="2:3" ht="15.75" customHeight="1" x14ac:dyDescent="0.2">
      <c r="B38" s="17">
        <v>11.609599999999993</v>
      </c>
      <c r="C38" s="17">
        <v>943.20224507554565</v>
      </c>
    </row>
    <row r="39" spans="2:3" ht="15.75" customHeight="1" x14ac:dyDescent="0.2">
      <c r="B39" s="17">
        <v>11.709599999999993</v>
      </c>
      <c r="C39" s="17">
        <v>945.58582445316404</v>
      </c>
    </row>
    <row r="40" spans="2:3" ht="15.75" customHeight="1" x14ac:dyDescent="0.2">
      <c r="B40" s="17">
        <v>11.809599999999993</v>
      </c>
      <c r="C40" s="17">
        <v>954.94808777324067</v>
      </c>
    </row>
    <row r="41" spans="2:3" ht="15.75" customHeight="1" x14ac:dyDescent="0.2">
      <c r="B41" s="17">
        <v>11.909599999999992</v>
      </c>
      <c r="C41" s="17">
        <v>946.9110644297208</v>
      </c>
    </row>
    <row r="42" spans="2:3" ht="15.75" customHeight="1" x14ac:dyDescent="0.2">
      <c r="B42" s="17">
        <v>12.009599999999992</v>
      </c>
      <c r="C42" s="17">
        <v>945.58582445316404</v>
      </c>
    </row>
    <row r="43" spans="2:3" ht="15.75" customHeight="1" x14ac:dyDescent="0.2">
      <c r="B43" s="17">
        <v>12.109599999999991</v>
      </c>
      <c r="C43" s="17">
        <v>943.5479551093116</v>
      </c>
    </row>
    <row r="44" spans="2:3" ht="15.75" customHeight="1" x14ac:dyDescent="0.2">
      <c r="B44" s="17">
        <v>12.209599999999991</v>
      </c>
      <c r="C44" s="17">
        <v>940.00818835045595</v>
      </c>
    </row>
    <row r="45" spans="2:3" ht="15.75" customHeight="1" x14ac:dyDescent="0.2">
      <c r="B45" s="17">
        <v>12.309599999999991</v>
      </c>
      <c r="C45" s="17">
        <v>944.2341022265158</v>
      </c>
    </row>
    <row r="46" spans="2:3" ht="15.75" customHeight="1" x14ac:dyDescent="0.2">
      <c r="B46" s="17">
        <v>12.40959999999999</v>
      </c>
      <c r="C46" s="17">
        <v>944.2341022265158</v>
      </c>
    </row>
    <row r="47" spans="2:3" ht="15.75" customHeight="1" x14ac:dyDescent="0.2">
      <c r="B47" s="17">
        <v>12.50959999999999</v>
      </c>
      <c r="C47" s="17">
        <v>942.15433695629793</v>
      </c>
    </row>
    <row r="48" spans="2:3" ht="15.75" customHeight="1" x14ac:dyDescent="0.2">
      <c r="B48" s="17">
        <v>12.60959999999999</v>
      </c>
      <c r="C48" s="17">
        <v>941.80137519151879</v>
      </c>
    </row>
    <row r="49" spans="2:3" ht="15.75" customHeight="1" x14ac:dyDescent="0.2">
      <c r="B49" s="17">
        <v>12.709599999999989</v>
      </c>
      <c r="C49" s="17">
        <v>946.9110644297208</v>
      </c>
    </row>
    <row r="50" spans="2:3" ht="15.75" customHeight="1" x14ac:dyDescent="0.2">
      <c r="B50" s="17">
        <v>12.809599999999989</v>
      </c>
      <c r="C50" s="17">
        <v>940.73122431688773</v>
      </c>
    </row>
    <row r="51" spans="2:3" ht="15.75" customHeight="1" x14ac:dyDescent="0.2">
      <c r="B51" s="17">
        <v>12.909599999999989</v>
      </c>
      <c r="C51" s="17">
        <v>944.91334350616501</v>
      </c>
    </row>
    <row r="52" spans="2:3" ht="15.75" customHeight="1" x14ac:dyDescent="0.2">
      <c r="B52" s="17">
        <v>13.009599999999988</v>
      </c>
      <c r="C52" s="17">
        <v>941.44654985673208</v>
      </c>
    </row>
    <row r="53" spans="2:3" ht="15.75" customHeight="1" x14ac:dyDescent="0.2">
      <c r="B53" s="17">
        <v>13.109599999999988</v>
      </c>
      <c r="C53" s="17">
        <v>942.15433695629793</v>
      </c>
    </row>
    <row r="54" spans="2:3" ht="15.75" customHeight="1" x14ac:dyDescent="0.2">
      <c r="B54" s="17">
        <v>13.209599999999988</v>
      </c>
      <c r="C54" s="17">
        <v>942.85475181605614</v>
      </c>
    </row>
    <row r="55" spans="2:3" ht="15.75" customHeight="1" x14ac:dyDescent="0.2">
      <c r="B55" s="17">
        <v>13.309599999999987</v>
      </c>
      <c r="C55" s="17">
        <v>936.27089162698337</v>
      </c>
    </row>
    <row r="56" spans="2:3" ht="15.75" customHeight="1" x14ac:dyDescent="0.2">
      <c r="B56" s="17">
        <v>13.409599999999987</v>
      </c>
      <c r="C56" s="17">
        <v>938.53826660252037</v>
      </c>
    </row>
    <row r="57" spans="2:3" ht="15.75" customHeight="1" x14ac:dyDescent="0.2">
      <c r="B57" s="17">
        <v>13.509599999999987</v>
      </c>
      <c r="C57" s="17">
        <v>941.44654985673208</v>
      </c>
    </row>
    <row r="58" spans="2:3" ht="15.75" customHeight="1" x14ac:dyDescent="0.2">
      <c r="B58" s="17">
        <v>13.609599999999986</v>
      </c>
      <c r="C58" s="17">
        <v>942.15433695629793</v>
      </c>
    </row>
    <row r="59" spans="2:3" ht="15.75" customHeight="1" x14ac:dyDescent="0.2">
      <c r="B59" s="17">
        <v>13.709599999999986</v>
      </c>
      <c r="C59" s="17">
        <v>938.53826660252037</v>
      </c>
    </row>
    <row r="60" spans="2:3" ht="15.75" customHeight="1" x14ac:dyDescent="0.2">
      <c r="B60" s="17">
        <v>13.809599999999985</v>
      </c>
      <c r="C60" s="17">
        <v>940.73122431688773</v>
      </c>
    </row>
    <row r="61" spans="2:3" ht="15.75" customHeight="1" x14ac:dyDescent="0.2">
      <c r="B61" s="17">
        <v>13.909599999999985</v>
      </c>
      <c r="C61" s="17">
        <v>940.00818835045595</v>
      </c>
    </row>
    <row r="62" spans="2:3" ht="15.75" customHeight="1" x14ac:dyDescent="0.2">
      <c r="B62" s="17">
        <v>14.009599999999985</v>
      </c>
      <c r="C62" s="17">
        <v>937.79100536889894</v>
      </c>
    </row>
    <row r="63" spans="2:3" ht="15.75" customHeight="1" x14ac:dyDescent="0.2">
      <c r="B63" s="17">
        <v>14.109599999999984</v>
      </c>
      <c r="C63" s="17">
        <v>939.2772639112269</v>
      </c>
    </row>
    <row r="64" spans="2:3" ht="15.75" customHeight="1" x14ac:dyDescent="0.2">
      <c r="B64" s="17">
        <v>14.209599999999984</v>
      </c>
      <c r="C64" s="17">
        <v>937.79100536889894</v>
      </c>
    </row>
    <row r="65" spans="2:3" ht="15.75" customHeight="1" x14ac:dyDescent="0.2">
      <c r="B65" s="17">
        <v>14.309599999999984</v>
      </c>
      <c r="C65" s="17">
        <v>930.65849815904619</v>
      </c>
    </row>
    <row r="66" spans="2:3" ht="15.75" customHeight="1" x14ac:dyDescent="0.2">
      <c r="B66" s="17">
        <v>14.409599999999983</v>
      </c>
      <c r="C66" s="17">
        <v>931.49001070168754</v>
      </c>
    </row>
    <row r="67" spans="2:3" ht="15.75" customHeight="1" x14ac:dyDescent="0.2">
      <c r="B67" s="17">
        <v>14.509599999999983</v>
      </c>
      <c r="C67" s="17">
        <v>940.00818835045595</v>
      </c>
    </row>
    <row r="68" spans="2:3" ht="15.75" customHeight="1" x14ac:dyDescent="0.2">
      <c r="B68" s="17">
        <v>14.609599999999983</v>
      </c>
      <c r="C68" s="17">
        <v>930.65849815904619</v>
      </c>
    </row>
    <row r="69" spans="2:3" ht="15.75" customHeight="1" x14ac:dyDescent="0.2">
      <c r="B69" s="17">
        <v>14.709599999999982</v>
      </c>
      <c r="C69" s="17">
        <v>940.73122431688773</v>
      </c>
    </row>
    <row r="70" spans="2:3" ht="15.75" customHeight="1" x14ac:dyDescent="0.2">
      <c r="B70" s="17">
        <v>14.809599999999982</v>
      </c>
      <c r="C70" s="17">
        <v>937.79100536889894</v>
      </c>
    </row>
    <row r="71" spans="2:3" ht="15.75" customHeight="1" x14ac:dyDescent="0.2">
      <c r="B71" s="17">
        <v>14.909599999999982</v>
      </c>
      <c r="C71" s="17">
        <v>925.43567014411121</v>
      </c>
    </row>
    <row r="72" spans="2:3" ht="15.75" customHeight="1" x14ac:dyDescent="0.2">
      <c r="B72" s="17">
        <v>15.009599999999981</v>
      </c>
      <c r="C72" s="17">
        <v>930.65849815904619</v>
      </c>
    </row>
    <row r="73" spans="2:3" ht="15.75" customHeight="1" x14ac:dyDescent="0.2">
      <c r="B73" s="17">
        <v>15.109599999999981</v>
      </c>
      <c r="C73" s="17">
        <v>925.43567014411121</v>
      </c>
    </row>
    <row r="74" spans="2:3" ht="15.75" customHeight="1" x14ac:dyDescent="0.2">
      <c r="B74" s="17">
        <v>15.20959999999998</v>
      </c>
      <c r="C74" s="17">
        <v>925.43567014411121</v>
      </c>
    </row>
    <row r="75" spans="2:3" ht="15.75" customHeight="1" x14ac:dyDescent="0.2">
      <c r="B75" s="17">
        <v>15.3596</v>
      </c>
      <c r="C75" s="17">
        <v>911.87903682909052</v>
      </c>
    </row>
    <row r="76" spans="2:3" ht="15.75" customHeight="1" x14ac:dyDescent="0.2">
      <c r="B76" s="17">
        <v>15.7096</v>
      </c>
      <c r="C76" s="17">
        <v>915.67669594681172</v>
      </c>
    </row>
    <row r="77" spans="2:3" ht="15.75" customHeight="1" x14ac:dyDescent="0.2"/>
    <row r="78" spans="2:3" ht="15.75" customHeight="1" x14ac:dyDescent="0.2"/>
    <row r="79" spans="2:3" ht="15.75" customHeight="1" x14ac:dyDescent="0.2"/>
    <row r="80" spans="2: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workbookViewId="0">
      <selection activeCell="H18" sqref="H18"/>
    </sheetView>
  </sheetViews>
  <sheetFormatPr baseColWidth="10" defaultColWidth="14.5" defaultRowHeight="15" customHeight="1" x14ac:dyDescent="0.2"/>
  <cols>
    <col min="1" max="1" width="9.1640625" customWidth="1"/>
    <col min="2" max="2" width="11.1640625" customWidth="1"/>
    <col min="3" max="3" width="12.5" customWidth="1"/>
    <col min="4" max="9" width="9.1640625" customWidth="1"/>
    <col min="10" max="26" width="8.6640625" customWidth="1"/>
  </cols>
  <sheetData>
    <row r="1" spans="1:26" x14ac:dyDescent="0.2">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x14ac:dyDescent="0.2">
      <c r="A2" s="18"/>
      <c r="B2" s="18"/>
      <c r="C2" s="18"/>
      <c r="D2" s="18"/>
      <c r="E2" s="18"/>
      <c r="F2" s="18"/>
      <c r="G2" s="18"/>
      <c r="H2" s="18"/>
      <c r="I2" s="18"/>
      <c r="J2" s="18"/>
      <c r="K2" s="18"/>
      <c r="L2" s="18"/>
      <c r="M2" s="18"/>
      <c r="N2" s="18"/>
      <c r="O2" s="18"/>
      <c r="P2" s="18"/>
      <c r="Q2" s="18"/>
      <c r="R2" s="18"/>
      <c r="S2" s="18"/>
      <c r="T2" s="18"/>
      <c r="U2" s="18"/>
      <c r="V2" s="18"/>
      <c r="W2" s="18"/>
      <c r="X2" s="18"/>
      <c r="Y2" s="18"/>
      <c r="Z2" s="18"/>
    </row>
    <row r="3" spans="1:26" ht="45" customHeight="1" x14ac:dyDescent="0.2">
      <c r="A3" s="18"/>
      <c r="B3" s="2" t="s">
        <v>21</v>
      </c>
      <c r="C3" s="2" t="s">
        <v>26</v>
      </c>
      <c r="D3" s="18"/>
      <c r="E3" s="18"/>
      <c r="F3" s="18"/>
      <c r="G3" s="18"/>
      <c r="H3" s="18"/>
      <c r="I3" s="18"/>
      <c r="J3" s="18"/>
      <c r="K3" s="18"/>
      <c r="L3" s="18"/>
      <c r="M3" s="18"/>
      <c r="N3" s="18"/>
      <c r="O3" s="18"/>
      <c r="P3" s="18"/>
      <c r="Q3" s="18"/>
      <c r="R3" s="18"/>
      <c r="S3" s="18"/>
      <c r="T3" s="18"/>
      <c r="U3" s="18"/>
      <c r="V3" s="18"/>
      <c r="W3" s="18"/>
      <c r="X3" s="18"/>
      <c r="Y3" s="18"/>
      <c r="Z3" s="18"/>
    </row>
    <row r="4" spans="1:26" x14ac:dyDescent="0.2">
      <c r="A4" s="18"/>
      <c r="B4" s="18">
        <v>4.0106000000000002</v>
      </c>
      <c r="C4" s="18">
        <v>780.99697341691547</v>
      </c>
      <c r="D4" s="18"/>
      <c r="E4" s="18"/>
      <c r="F4" s="18"/>
      <c r="G4" s="18"/>
      <c r="H4" s="18"/>
      <c r="I4" s="18"/>
      <c r="J4" s="18"/>
      <c r="K4" s="18"/>
      <c r="L4" s="18"/>
      <c r="M4" s="18"/>
      <c r="N4" s="18"/>
      <c r="O4" s="18"/>
      <c r="P4" s="18"/>
      <c r="Q4" s="18"/>
      <c r="R4" s="18"/>
      <c r="S4" s="18"/>
      <c r="T4" s="18"/>
      <c r="U4" s="18"/>
      <c r="V4" s="18"/>
      <c r="W4" s="18"/>
      <c r="X4" s="18"/>
      <c r="Y4" s="18"/>
      <c r="Z4" s="18"/>
    </row>
    <row r="5" spans="1:26" x14ac:dyDescent="0.2">
      <c r="A5" s="18"/>
      <c r="B5" s="18">
        <v>4.0405999999999995</v>
      </c>
      <c r="C5" s="18">
        <v>824.47062202525865</v>
      </c>
      <c r="D5" s="18"/>
      <c r="E5" s="18"/>
      <c r="F5" s="18"/>
      <c r="G5" s="18"/>
      <c r="H5" s="18"/>
      <c r="I5" s="18"/>
      <c r="J5" s="18"/>
      <c r="K5" s="18"/>
      <c r="L5" s="18"/>
      <c r="M5" s="18"/>
      <c r="N5" s="18"/>
      <c r="O5" s="18"/>
      <c r="P5" s="18"/>
      <c r="Q5" s="18"/>
      <c r="R5" s="18"/>
      <c r="S5" s="18"/>
      <c r="T5" s="18"/>
      <c r="U5" s="18"/>
      <c r="V5" s="18"/>
      <c r="W5" s="18"/>
      <c r="X5" s="18"/>
      <c r="Y5" s="18"/>
      <c r="Z5" s="18"/>
    </row>
    <row r="6" spans="1:26" x14ac:dyDescent="0.2">
      <c r="A6" s="18"/>
      <c r="B6" s="18">
        <v>4.9656000000000002</v>
      </c>
      <c r="C6" s="18">
        <v>841.34771959836019</v>
      </c>
      <c r="D6" s="18"/>
      <c r="E6" s="18"/>
      <c r="F6" s="18"/>
      <c r="G6" s="18"/>
      <c r="H6" s="18"/>
      <c r="I6" s="18"/>
      <c r="J6" s="18"/>
      <c r="K6" s="18"/>
      <c r="L6" s="18"/>
      <c r="M6" s="18"/>
      <c r="N6" s="18"/>
      <c r="O6" s="18"/>
      <c r="P6" s="18"/>
      <c r="Q6" s="18"/>
      <c r="R6" s="18"/>
      <c r="S6" s="18"/>
      <c r="T6" s="18"/>
      <c r="U6" s="18"/>
      <c r="V6" s="18"/>
      <c r="W6" s="18"/>
      <c r="X6" s="18"/>
      <c r="Y6" s="18"/>
      <c r="Z6" s="18"/>
    </row>
    <row r="7" spans="1:26" x14ac:dyDescent="0.2">
      <c r="A7" s="18"/>
      <c r="B7" s="18">
        <v>4.9695999999999989</v>
      </c>
      <c r="C7" s="18">
        <v>824.47062202525865</v>
      </c>
      <c r="D7" s="18"/>
      <c r="E7" s="18"/>
      <c r="F7" s="18"/>
      <c r="G7" s="18"/>
      <c r="H7" s="18"/>
      <c r="I7" s="18"/>
      <c r="J7" s="18"/>
      <c r="K7" s="18"/>
      <c r="L7" s="18"/>
      <c r="M7" s="18"/>
      <c r="N7" s="18"/>
      <c r="O7" s="18"/>
      <c r="P7" s="18"/>
      <c r="Q7" s="18"/>
      <c r="R7" s="18"/>
      <c r="S7" s="18"/>
      <c r="T7" s="18"/>
      <c r="U7" s="18"/>
      <c r="V7" s="18"/>
      <c r="W7" s="18"/>
      <c r="X7" s="18"/>
      <c r="Y7" s="18"/>
      <c r="Z7" s="18"/>
    </row>
    <row r="8" spans="1:26" x14ac:dyDescent="0.2">
      <c r="A8" s="18"/>
      <c r="B8" s="18">
        <v>5.9155999999999995</v>
      </c>
      <c r="C8" s="18">
        <v>885.10145229211059</v>
      </c>
      <c r="D8" s="18"/>
      <c r="E8" s="18"/>
      <c r="F8" s="18"/>
      <c r="G8" s="18"/>
      <c r="H8" s="18"/>
      <c r="I8" s="18"/>
      <c r="J8" s="18"/>
      <c r="K8" s="18"/>
      <c r="L8" s="18"/>
      <c r="M8" s="18"/>
      <c r="N8" s="18"/>
      <c r="O8" s="18"/>
      <c r="P8" s="18"/>
      <c r="Q8" s="18"/>
      <c r="R8" s="18"/>
      <c r="S8" s="18"/>
      <c r="T8" s="18"/>
      <c r="U8" s="18"/>
      <c r="V8" s="18"/>
      <c r="W8" s="18"/>
      <c r="X8" s="18"/>
      <c r="Y8" s="18"/>
      <c r="Z8" s="18"/>
    </row>
    <row r="9" spans="1:26" x14ac:dyDescent="0.2">
      <c r="A9" s="18"/>
      <c r="B9" s="18">
        <v>5.9265999999999996</v>
      </c>
      <c r="C9" s="18">
        <v>864.85213525369284</v>
      </c>
      <c r="D9" s="18"/>
      <c r="E9" s="18"/>
      <c r="F9" s="18"/>
      <c r="G9" s="18"/>
      <c r="H9" s="18"/>
      <c r="I9" s="18"/>
      <c r="J9" s="18"/>
      <c r="K9" s="18"/>
      <c r="L9" s="18"/>
      <c r="M9" s="18"/>
      <c r="N9" s="18"/>
      <c r="O9" s="18"/>
      <c r="P9" s="18"/>
      <c r="Q9" s="18"/>
      <c r="R9" s="18"/>
      <c r="S9" s="18"/>
      <c r="T9" s="18"/>
      <c r="U9" s="18"/>
      <c r="V9" s="18"/>
      <c r="W9" s="18"/>
      <c r="X9" s="18"/>
      <c r="Y9" s="18"/>
      <c r="Z9" s="18"/>
    </row>
    <row r="10" spans="1:26" x14ac:dyDescent="0.2">
      <c r="A10" s="18"/>
      <c r="B10" s="18">
        <v>6.8065999999999987</v>
      </c>
      <c r="C10" s="18">
        <v>914.61444459792631</v>
      </c>
      <c r="D10" s="18"/>
      <c r="E10" s="18"/>
      <c r="F10" s="18"/>
      <c r="G10" s="18"/>
      <c r="H10" s="18"/>
      <c r="I10" s="18"/>
      <c r="J10" s="18"/>
      <c r="K10" s="18"/>
      <c r="L10" s="18"/>
      <c r="M10" s="18"/>
      <c r="N10" s="18"/>
      <c r="O10" s="18"/>
      <c r="P10" s="18"/>
      <c r="Q10" s="18"/>
      <c r="R10" s="18"/>
      <c r="S10" s="18"/>
      <c r="T10" s="18"/>
      <c r="U10" s="18"/>
      <c r="V10" s="18"/>
      <c r="W10" s="18"/>
      <c r="X10" s="18"/>
      <c r="Y10" s="18"/>
      <c r="Z10" s="18"/>
    </row>
    <row r="11" spans="1:26" x14ac:dyDescent="0.2">
      <c r="A11" s="18"/>
      <c r="B11" s="18">
        <v>6.8485999999999994</v>
      </c>
      <c r="C11" s="18">
        <v>888.44561549924026</v>
      </c>
      <c r="D11" s="18"/>
      <c r="E11" s="18"/>
      <c r="F11" s="18"/>
      <c r="G11" s="18"/>
      <c r="H11" s="18"/>
      <c r="I11" s="18"/>
      <c r="J11" s="18"/>
      <c r="K11" s="18"/>
      <c r="L11" s="18"/>
      <c r="M11" s="18"/>
      <c r="N11" s="18"/>
      <c r="O11" s="18"/>
      <c r="P11" s="18"/>
      <c r="Q11" s="18"/>
      <c r="R11" s="18"/>
      <c r="S11" s="18"/>
      <c r="T11" s="18"/>
      <c r="U11" s="18"/>
      <c r="V11" s="18"/>
      <c r="W11" s="18"/>
      <c r="X11" s="18"/>
      <c r="Y11" s="18"/>
      <c r="Z11" s="18"/>
    </row>
    <row r="12" spans="1:26" x14ac:dyDescent="0.2">
      <c r="A12" s="18"/>
      <c r="B12" s="18">
        <v>7.746599999999999</v>
      </c>
      <c r="C12" s="18">
        <v>912.43556801411762</v>
      </c>
      <c r="D12" s="18"/>
      <c r="E12" s="18"/>
      <c r="F12" s="18"/>
      <c r="G12" s="18"/>
      <c r="H12" s="18"/>
      <c r="I12" s="18"/>
      <c r="J12" s="18"/>
      <c r="K12" s="18"/>
      <c r="L12" s="18"/>
      <c r="M12" s="18"/>
      <c r="N12" s="18"/>
      <c r="O12" s="18"/>
      <c r="P12" s="18"/>
      <c r="Q12" s="18"/>
      <c r="R12" s="18"/>
      <c r="S12" s="18"/>
      <c r="T12" s="18"/>
      <c r="U12" s="18"/>
      <c r="V12" s="18"/>
      <c r="W12" s="18"/>
      <c r="X12" s="18"/>
      <c r="Y12" s="18"/>
      <c r="Z12" s="18"/>
    </row>
    <row r="13" spans="1:26" x14ac:dyDescent="0.2">
      <c r="A13" s="18"/>
      <c r="B13" s="18">
        <v>7.7995999999999999</v>
      </c>
      <c r="C13" s="18">
        <v>926.33555602271701</v>
      </c>
      <c r="D13" s="18"/>
      <c r="E13" s="18"/>
      <c r="F13" s="18"/>
      <c r="G13" s="18"/>
      <c r="H13" s="18"/>
      <c r="I13" s="18"/>
      <c r="J13" s="18"/>
      <c r="K13" s="18"/>
      <c r="L13" s="18"/>
      <c r="M13" s="18"/>
      <c r="N13" s="18"/>
      <c r="O13" s="18"/>
      <c r="P13" s="18"/>
      <c r="Q13" s="18"/>
      <c r="R13" s="18"/>
      <c r="S13" s="18"/>
      <c r="T13" s="18"/>
      <c r="U13" s="18"/>
      <c r="V13" s="18"/>
      <c r="W13" s="18"/>
      <c r="X13" s="18"/>
      <c r="Y13" s="18"/>
      <c r="Z13" s="18"/>
    </row>
    <row r="14" spans="1:26" x14ac:dyDescent="0.2">
      <c r="A14" s="18"/>
      <c r="B14" s="18">
        <v>8.6815999999999978</v>
      </c>
      <c r="C14" s="18">
        <v>926.33555602271701</v>
      </c>
      <c r="D14" s="18"/>
      <c r="E14" s="18"/>
      <c r="F14" s="18"/>
      <c r="G14" s="18"/>
      <c r="H14" s="18"/>
      <c r="I14" s="18"/>
      <c r="J14" s="18"/>
      <c r="K14" s="18"/>
      <c r="L14" s="18"/>
      <c r="M14" s="18"/>
      <c r="N14" s="18"/>
      <c r="O14" s="18"/>
      <c r="P14" s="18"/>
      <c r="Q14" s="18"/>
      <c r="R14" s="18"/>
      <c r="S14" s="18"/>
      <c r="T14" s="18"/>
      <c r="U14" s="18"/>
      <c r="V14" s="18"/>
      <c r="W14" s="18"/>
      <c r="X14" s="18"/>
      <c r="Y14" s="18"/>
      <c r="Z14" s="18"/>
    </row>
    <row r="15" spans="1:26" x14ac:dyDescent="0.2">
      <c r="A15" s="18"/>
      <c r="B15" s="18">
        <v>8.7365999999999993</v>
      </c>
      <c r="C15" s="18">
        <v>931.49001070168731</v>
      </c>
      <c r="D15" s="18"/>
      <c r="E15" s="18"/>
      <c r="F15" s="18"/>
      <c r="G15" s="18"/>
      <c r="H15" s="18"/>
      <c r="I15" s="18"/>
      <c r="J15" s="18"/>
      <c r="K15" s="18"/>
      <c r="L15" s="18"/>
      <c r="M15" s="18"/>
      <c r="N15" s="18"/>
      <c r="O15" s="18"/>
      <c r="P15" s="18"/>
      <c r="Q15" s="18"/>
      <c r="R15" s="18"/>
      <c r="S15" s="18"/>
      <c r="T15" s="18"/>
      <c r="U15" s="18"/>
      <c r="V15" s="18"/>
      <c r="W15" s="18"/>
      <c r="X15" s="18"/>
      <c r="Y15" s="18"/>
      <c r="Z15" s="18"/>
    </row>
    <row r="16" spans="1:26" x14ac:dyDescent="0.2">
      <c r="A16" s="18"/>
      <c r="B16" s="18">
        <v>9.566599999999994</v>
      </c>
      <c r="C16" s="18">
        <v>942.15433695629793</v>
      </c>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2">
      <c r="A17" s="18"/>
      <c r="B17" s="18">
        <v>9.6395999999999997</v>
      </c>
      <c r="C17" s="18">
        <v>943.5479551093116</v>
      </c>
      <c r="D17" s="18"/>
      <c r="E17" s="18"/>
      <c r="F17" s="18"/>
      <c r="G17" s="18"/>
      <c r="H17" s="18"/>
      <c r="I17" s="18"/>
      <c r="J17" s="18"/>
      <c r="K17" s="18"/>
      <c r="L17" s="18"/>
      <c r="M17" s="18"/>
      <c r="N17" s="18"/>
      <c r="O17" s="18"/>
      <c r="P17" s="18"/>
      <c r="Q17" s="18"/>
      <c r="R17" s="18"/>
      <c r="S17" s="18"/>
      <c r="T17" s="18"/>
      <c r="U17" s="18"/>
      <c r="V17" s="18"/>
      <c r="W17" s="18"/>
      <c r="X17" s="18"/>
      <c r="Y17" s="18"/>
      <c r="Z17" s="18"/>
    </row>
    <row r="18" spans="1:26" ht="17" x14ac:dyDescent="0.2">
      <c r="A18" s="18"/>
      <c r="B18" s="18">
        <v>10.507599999999995</v>
      </c>
      <c r="C18" s="18">
        <v>948.85160365756508</v>
      </c>
      <c r="D18" s="18"/>
      <c r="E18" s="18"/>
      <c r="F18" s="18"/>
      <c r="G18" s="18"/>
      <c r="H18" s="18" t="s">
        <v>27</v>
      </c>
      <c r="I18" s="18"/>
      <c r="J18" s="18"/>
      <c r="K18" s="18"/>
      <c r="L18" s="18"/>
      <c r="M18" s="18"/>
      <c r="N18" s="18"/>
      <c r="O18" s="18"/>
      <c r="P18" s="18"/>
      <c r="Q18" s="18"/>
      <c r="R18" s="18"/>
      <c r="S18" s="18"/>
      <c r="T18" s="18"/>
      <c r="U18" s="18"/>
      <c r="V18" s="18"/>
      <c r="W18" s="18"/>
      <c r="X18" s="18"/>
      <c r="Y18" s="18"/>
      <c r="Z18" s="18"/>
    </row>
    <row r="19" spans="1:26" x14ac:dyDescent="0.2">
      <c r="A19" s="18"/>
      <c r="B19" s="18">
        <v>10.594599999999998</v>
      </c>
      <c r="C19" s="18">
        <v>944.91334350616501</v>
      </c>
      <c r="D19" s="18"/>
      <c r="E19" s="18"/>
      <c r="F19" s="18"/>
      <c r="G19" s="18"/>
      <c r="H19" s="6" t="s">
        <v>23</v>
      </c>
      <c r="J19" s="18"/>
      <c r="K19" s="18"/>
      <c r="L19" s="18"/>
      <c r="M19" s="18"/>
      <c r="N19" s="18"/>
      <c r="O19" s="18"/>
      <c r="P19" s="18"/>
      <c r="Q19" s="18"/>
      <c r="R19" s="18"/>
      <c r="S19" s="18"/>
      <c r="T19" s="18"/>
      <c r="U19" s="18"/>
      <c r="V19" s="18"/>
      <c r="W19" s="18"/>
      <c r="X19" s="18"/>
      <c r="Y19" s="18"/>
      <c r="Z19" s="18"/>
    </row>
    <row r="20" spans="1:26" ht="16" x14ac:dyDescent="0.2">
      <c r="A20" s="18"/>
      <c r="B20" s="18">
        <v>11.507599999999995</v>
      </c>
      <c r="C20" s="18">
        <v>942.15433695629793</v>
      </c>
      <c r="D20" s="18"/>
      <c r="E20" s="18"/>
      <c r="F20" s="18"/>
      <c r="G20" s="18"/>
      <c r="H20" s="17" t="s">
        <v>24</v>
      </c>
      <c r="I20" s="17" t="s">
        <v>25</v>
      </c>
      <c r="J20" s="18"/>
      <c r="K20" s="18"/>
      <c r="L20" s="18"/>
      <c r="M20" s="18"/>
      <c r="N20" s="18"/>
      <c r="O20" s="18"/>
      <c r="P20" s="18"/>
      <c r="Q20" s="18"/>
      <c r="R20" s="18"/>
      <c r="S20" s="18"/>
      <c r="T20" s="18"/>
      <c r="U20" s="18"/>
      <c r="V20" s="18"/>
      <c r="W20" s="18"/>
      <c r="X20" s="18"/>
      <c r="Y20" s="18"/>
      <c r="Z20" s="18"/>
    </row>
    <row r="21" spans="1:26" ht="15.75" customHeight="1" x14ac:dyDescent="0.2">
      <c r="A21" s="18"/>
      <c r="B21" s="18">
        <v>11.529599999999997</v>
      </c>
      <c r="C21" s="18">
        <v>947.56409210668323</v>
      </c>
      <c r="D21" s="18"/>
      <c r="E21" s="18"/>
      <c r="F21" s="18"/>
      <c r="G21" s="18"/>
      <c r="H21" s="18">
        <v>11.2807309644187</v>
      </c>
      <c r="I21" s="18">
        <f>(-0.013609*H21^4) + (0.60653*H21^3) + (-12.281*H21^2) + (123.67*H21) + (463.54)</f>
        <v>946.12007050558486</v>
      </c>
      <c r="J21" s="18"/>
      <c r="K21" s="18"/>
      <c r="L21" s="18"/>
      <c r="M21" s="18"/>
      <c r="N21" s="18"/>
      <c r="O21" s="18"/>
      <c r="P21" s="18"/>
      <c r="Q21" s="18"/>
      <c r="R21" s="18"/>
      <c r="S21" s="18"/>
      <c r="T21" s="18"/>
      <c r="U21" s="18"/>
      <c r="V21" s="18"/>
      <c r="W21" s="18"/>
      <c r="X21" s="18"/>
      <c r="Y21" s="18"/>
      <c r="Z21" s="18"/>
    </row>
    <row r="22" spans="1:26" ht="15.75" customHeight="1" x14ac:dyDescent="0.2">
      <c r="A22" s="18"/>
      <c r="B22" s="18">
        <v>12.460599999999992</v>
      </c>
      <c r="C22" s="18">
        <v>928.09903754942741</v>
      </c>
      <c r="D22" s="18"/>
      <c r="E22" s="18"/>
      <c r="F22" s="18"/>
      <c r="G22" s="18"/>
      <c r="H22" s="18"/>
      <c r="I22" s="18"/>
      <c r="J22" s="18"/>
      <c r="K22" s="18"/>
      <c r="L22" s="18"/>
      <c r="M22" s="18"/>
      <c r="N22" s="18"/>
      <c r="O22" s="18"/>
      <c r="P22" s="18"/>
      <c r="Q22" s="18"/>
      <c r="R22" s="18"/>
      <c r="S22" s="18"/>
      <c r="T22" s="18"/>
      <c r="U22" s="18"/>
      <c r="V22" s="18"/>
      <c r="W22" s="18"/>
      <c r="X22" s="18"/>
      <c r="Y22" s="18"/>
      <c r="Z22" s="18"/>
    </row>
    <row r="23" spans="1:26" ht="15.75" customHeight="1" x14ac:dyDescent="0.2">
      <c r="A23" s="18"/>
      <c r="B23" s="18">
        <v>12.475599999999998</v>
      </c>
      <c r="C23" s="18">
        <v>950.11519974243004</v>
      </c>
      <c r="D23" s="18"/>
      <c r="E23" s="18"/>
      <c r="F23" s="18"/>
      <c r="G23" s="18"/>
      <c r="H23" s="18"/>
      <c r="I23" s="18"/>
      <c r="J23" s="18"/>
      <c r="K23" s="18"/>
      <c r="L23" s="18"/>
      <c r="M23" s="18"/>
      <c r="N23" s="18"/>
      <c r="O23" s="18"/>
      <c r="P23" s="18"/>
      <c r="Q23" s="18"/>
      <c r="R23" s="18"/>
      <c r="S23" s="18"/>
      <c r="T23" s="18"/>
      <c r="U23" s="18"/>
      <c r="V23" s="18"/>
      <c r="W23" s="18"/>
      <c r="X23" s="18"/>
      <c r="Y23" s="18"/>
      <c r="Z23" s="18"/>
    </row>
    <row r="24" spans="1:26" ht="15.75" customHeight="1" x14ac:dyDescent="0.2">
      <c r="A24" s="18"/>
      <c r="B24" s="18">
        <v>13.394599999999992</v>
      </c>
      <c r="C24" s="18">
        <v>933.12227045932252</v>
      </c>
      <c r="D24" s="18"/>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x14ac:dyDescent="0.2">
      <c r="A25" s="18"/>
      <c r="B25" s="18">
        <v>13.419600000000001</v>
      </c>
      <c r="C25" s="18">
        <v>943.5479551093116</v>
      </c>
      <c r="D25" s="18"/>
      <c r="E25" s="18"/>
      <c r="F25" s="18"/>
      <c r="G25" s="18"/>
      <c r="H25" s="18"/>
      <c r="I25" s="18"/>
      <c r="J25" s="18"/>
      <c r="K25" s="18"/>
      <c r="L25" s="18"/>
      <c r="M25" s="18"/>
      <c r="N25" s="18"/>
      <c r="O25" s="18"/>
      <c r="P25" s="18"/>
      <c r="Q25" s="18"/>
      <c r="R25" s="18"/>
      <c r="S25" s="18"/>
      <c r="T25" s="18"/>
      <c r="U25" s="18"/>
      <c r="V25" s="18"/>
      <c r="W25" s="18"/>
      <c r="X25" s="18"/>
      <c r="Y25" s="18"/>
      <c r="Z25" s="18"/>
    </row>
    <row r="26" spans="1:26" ht="15.75" customHeight="1" x14ac:dyDescent="0.2">
      <c r="A26" s="18"/>
      <c r="B26" s="18">
        <v>14.34859999999999</v>
      </c>
      <c r="C26" s="18">
        <v>924.52321159144356</v>
      </c>
      <c r="D26" s="18"/>
      <c r="E26" s="18"/>
      <c r="F26" s="18"/>
      <c r="G26" s="18"/>
      <c r="H26" s="18"/>
      <c r="I26" s="18"/>
      <c r="J26" s="18"/>
      <c r="K26" s="18"/>
      <c r="L26" s="18"/>
      <c r="M26" s="18"/>
      <c r="N26" s="18"/>
      <c r="O26" s="18"/>
      <c r="P26" s="18"/>
      <c r="Q26" s="18"/>
      <c r="R26" s="18"/>
      <c r="S26" s="18"/>
      <c r="T26" s="18"/>
      <c r="U26" s="18"/>
      <c r="V26" s="18"/>
      <c r="W26" s="18"/>
      <c r="X26" s="18"/>
      <c r="Y26" s="18"/>
      <c r="Z26" s="18"/>
    </row>
    <row r="27" spans="1:26" ht="15.75" customHeight="1" x14ac:dyDescent="0.2">
      <c r="A27" s="18"/>
      <c r="B27" s="18">
        <v>14.362599999999999</v>
      </c>
      <c r="C27" s="18">
        <v>916.72165561076702</v>
      </c>
      <c r="D27" s="18"/>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x14ac:dyDescent="0.2">
      <c r="A28" s="18"/>
      <c r="B28" s="18">
        <v>15.28159999999999</v>
      </c>
      <c r="C28" s="18">
        <v>918.76200792080056</v>
      </c>
      <c r="D28" s="18"/>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x14ac:dyDescent="0.2">
      <c r="A29" s="18"/>
      <c r="B29" s="18">
        <v>15.319599999999999</v>
      </c>
      <c r="C29" s="18">
        <v>894.6314597563229</v>
      </c>
      <c r="D29" s="18"/>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x14ac:dyDescent="0.2">
      <c r="A30" s="18"/>
      <c r="B30" s="18">
        <v>16.193599999999989</v>
      </c>
      <c r="C30" s="18">
        <v>881.56246869617814</v>
      </c>
      <c r="D30" s="18"/>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x14ac:dyDescent="0.2">
      <c r="A31" s="18"/>
      <c r="B31" s="18">
        <v>16.213599999999996</v>
      </c>
      <c r="C31" s="18">
        <v>900.25416469570985</v>
      </c>
      <c r="D31" s="18"/>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x14ac:dyDescent="0.2">
      <c r="A32" s="18"/>
      <c r="B32" s="18">
        <v>17.15059999999999</v>
      </c>
      <c r="C32" s="18">
        <v>841.34771959836019</v>
      </c>
      <c r="D32" s="18"/>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x14ac:dyDescent="0.2">
      <c r="A33" s="18"/>
      <c r="B33" s="18">
        <v>17.157599999999999</v>
      </c>
      <c r="C33" s="18">
        <v>864.85213525369284</v>
      </c>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x14ac:dyDescent="0.2">
      <c r="A34" s="18"/>
      <c r="B34" s="18">
        <v>18.123599999999993</v>
      </c>
      <c r="C34" s="18">
        <v>824.47062202525865</v>
      </c>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x14ac:dyDescent="0.2">
      <c r="A35" s="18"/>
      <c r="B35" s="18">
        <v>18.124599999999994</v>
      </c>
      <c r="C35" s="18">
        <v>799.80241678896766</v>
      </c>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x14ac:dyDescent="0.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x14ac:dyDescent="0.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x14ac:dyDescent="0.2">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x14ac:dyDescent="0.2">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x14ac:dyDescent="0.2">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x14ac:dyDescent="0.2">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x14ac:dyDescent="0.2">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x14ac:dyDescent="0.2">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x14ac:dyDescent="0.2">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x14ac:dyDescent="0.2">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x14ac:dyDescent="0.2">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x14ac:dyDescent="0.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x14ac:dyDescent="0.2">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x14ac:dyDescent="0.2">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x14ac:dyDescent="0.2">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x14ac:dyDescent="0.2">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x14ac:dyDescent="0.2">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x14ac:dyDescent="0.2">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x14ac:dyDescent="0.2">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x14ac:dyDescent="0.2">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x14ac:dyDescent="0.2">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x14ac:dyDescent="0.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x14ac:dyDescent="0.2">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x14ac:dyDescent="0.2">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x14ac:dyDescent="0.2">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x14ac:dyDescent="0.2">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x14ac:dyDescent="0.2">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x14ac:dyDescent="0.2">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x14ac:dyDescent="0.2">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x14ac:dyDescent="0.2">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x14ac:dyDescent="0.2">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x14ac:dyDescent="0.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x14ac:dyDescent="0.2">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x14ac:dyDescent="0.2">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x14ac:dyDescent="0.2">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x14ac:dyDescent="0.2">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x14ac:dyDescent="0.2">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x14ac:dyDescent="0.2">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x14ac:dyDescent="0.2">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x14ac:dyDescent="0.2">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x14ac:dyDescent="0.2">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x14ac:dyDescent="0.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x14ac:dyDescent="0.2">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x14ac:dyDescent="0.2">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5.75" customHeight="1" x14ac:dyDescent="0.2">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5.75" customHeight="1" x14ac:dyDescent="0.2">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5.75" customHeight="1" x14ac:dyDescent="0.2">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5.75" customHeight="1" x14ac:dyDescent="0.2">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5.75" customHeight="1" x14ac:dyDescent="0.2">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5.75" customHeight="1" x14ac:dyDescent="0.2">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First_TC shield</vt:lpstr>
      <vt:lpstr>Second_TC deviation</vt:lpstr>
      <vt:lpstr>Data for Taylor</vt:lpstr>
      <vt:lpstr>Data for Rosie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Kayla Iacovino</cp:lastModifiedBy>
  <dcterms:created xsi:type="dcterms:W3CDTF">2015-08-07T23:41:01Z</dcterms:created>
  <dcterms:modified xsi:type="dcterms:W3CDTF">2026-02-05T20:10:30Z</dcterms:modified>
</cp:coreProperties>
</file>